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ver" sheetId="1" r:id="rId5"/>
    <sheet name="Received (sections 1, 2, 3)" sheetId="2" r:id="rId6"/>
    <sheet name="Reprocessed (section 4)" sheetId="3" r:id="rId7"/>
    <sheet name="Sent on (section 5)" sheetId="4" r:id="rId8"/>
    <sheet name="Sheet1" sheetId="5" r:id="rId9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<sst xmlns="http://schemas.openxmlformats.org/spreadsheetml/2006/main" uniqueCount="1274">
  <si>
    <t>__EPR_META_PROCESSING_TYPE</t>
  </si>
  <si>
    <t>REPROCESSOR</t>
  </si>
  <si>
    <t>__EPR_META_TEMPLATE_VERSION</t>
  </si>
  <si>
    <t>Summary log for UK 
packaging waste</t>
  </si>
  <si>
    <r>
      <rPr>
        <b val="1"/>
        <sz val="16"/>
        <color indexed="12"/>
        <rFont val="Tahoma"/>
      </rPr>
      <t xml:space="preserve">Quick links
</t>
    </r>
    <r>
      <rPr>
        <b val="1"/>
        <sz val="16"/>
        <color indexed="12"/>
        <rFont val="Tahoma"/>
      </rPr>
      <t xml:space="preserve">
</t>
    </r>
    <r>
      <rPr>
        <u val="single"/>
        <sz val="16"/>
        <color indexed="13"/>
        <rFont val="Tahoma"/>
      </rPr>
      <t xml:space="preserve">
</t>
    </r>
    <r>
      <rPr>
        <u val="single"/>
        <sz val="16"/>
        <color indexed="13"/>
        <rFont val="Tahoma"/>
      </rPr>
      <t xml:space="preserve">
</t>
    </r>
    <r>
      <rPr>
        <u val="single"/>
        <sz val="16"/>
        <color indexed="13"/>
        <rFont val="Tahoma"/>
      </rPr>
      <t>Read guidance on packaging waste regulations</t>
    </r>
    <r>
      <rPr>
        <b val="1"/>
        <sz val="16"/>
        <color indexed="12"/>
        <rFont val="Tahoma"/>
      </rPr>
      <t xml:space="preserve">
</t>
    </r>
  </si>
  <si>
    <r>
      <rPr>
        <b val="1"/>
        <u val="single"/>
        <sz val="16"/>
        <color indexed="14"/>
        <rFont val="Univers Condensed"/>
      </rPr>
      <t xml:space="preserve">
</t>
    </r>
    <r>
      <rPr>
        <b val="1"/>
        <u val="single"/>
        <sz val="16"/>
        <color indexed="14"/>
        <rFont val="Univers Condensed"/>
      </rPr>
      <t xml:space="preserve">
</t>
    </r>
    <r>
      <rPr>
        <b val="1"/>
        <u val="single"/>
        <sz val="16"/>
        <color indexed="14"/>
        <rFont val="Univers Condensed"/>
      </rPr>
      <t xml:space="preserve">Sign in to submit summary log
</t>
    </r>
    <r>
      <rPr>
        <b val="1"/>
        <u val="single"/>
        <sz val="16"/>
        <color indexed="14"/>
        <rFont val="Univers Condensed"/>
      </rPr>
      <t xml:space="preserve">
</t>
    </r>
    <r>
      <rPr>
        <b val="1"/>
        <u val="single"/>
        <sz val="16"/>
        <color indexed="14"/>
        <rFont val="Univers Condensed"/>
      </rPr>
      <t xml:space="preserve">Read guidance on packaging waste regulations
</t>
    </r>
  </si>
  <si>
    <t>Material:</t>
  </si>
  <si>
    <t>Accreditation no.</t>
  </si>
  <si>
    <t>Registration no.</t>
  </si>
  <si>
    <t>__EPR_META_MATERIAL</t>
  </si>
  <si>
    <t>Glass</t>
  </si>
  <si>
    <t>__EPR_META_ACCREDITATION</t>
  </si>
  <si>
    <t>68f6a147c117aec8a1ab7495</t>
  </si>
  <si>
    <t>__EPR_META_REGISTRATION</t>
  </si>
  <si>
    <t>CBDU123456</t>
  </si>
  <si>
    <r>
      <rPr>
        <u val="single"/>
        <sz val="12"/>
        <color indexed="18"/>
        <rFont val="Aptos Narrow"/>
      </rPr>
      <t>&lt; Go to section1</t>
    </r>
  </si>
  <si>
    <t>Section 1: Update  your waste balance</t>
  </si>
  <si>
    <t>Section 2: Prepare for your monthly reports</t>
  </si>
  <si>
    <r>
      <rPr>
        <u val="single"/>
        <sz val="12"/>
        <color indexed="18"/>
        <rFont val="Aptos Narrow"/>
      </rPr>
      <t>&lt; Go to section 1</t>
    </r>
  </si>
  <si>
    <t>Section 3: Ensure you're compliant</t>
  </si>
  <si>
    <r>
      <rPr>
        <u val="single"/>
        <sz val="12"/>
        <color indexed="18"/>
        <rFont val="Aptos Narrow"/>
      </rPr>
      <t>&lt; Go to section2</t>
    </r>
  </si>
  <si>
    <t>A load will only be added to your waste balance  when you provide all the information in this section.</t>
  </si>
  <si>
    <r>
      <rPr>
        <u val="single"/>
        <sz val="12"/>
        <color indexed="19"/>
        <rFont val="Aptos Narrow"/>
      </rPr>
      <t>Go to section 2 &gt;</t>
    </r>
  </si>
  <si>
    <t>Prepare for your monthly reports by providing all the information in sections 1 and 2.</t>
  </si>
  <si>
    <r>
      <rPr>
        <u val="single"/>
        <sz val="12"/>
        <color indexed="18"/>
        <rFont val="Aptos Narrow"/>
      </rPr>
      <t>Go to section 3 &gt;</t>
    </r>
  </si>
  <si>
    <t>Ensure you're meeting the regulatory requirements for your accreditation by providing all the information for each load in sections 1, 2 and 3. You must also complete section 4 (Reprocessed) and section 5 (sent on) where applicable.</t>
  </si>
  <si>
    <t>Our reference</t>
  </si>
  <si>
    <t>Date Received</t>
  </si>
  <si>
    <t>EWC code</t>
  </si>
  <si>
    <t>Description of waste exported 
(Type and form, including type
of polymer)</t>
  </si>
  <si>
    <t>Gross weight
(Tonnes)</t>
  </si>
  <si>
    <t>Tare weight
(Tonnes)</t>
  </si>
  <si>
    <t>Pallet weight or other
transit packaging
(Tonnes)</t>
  </si>
  <si>
    <t>Net weight (Gross- Tare - Pallet or other transit packaging weight)
(Tonnes, automatically calculated)</t>
  </si>
  <si>
    <t>Baling wire protocol 
applied?
(This is a deduction 
of 0.15%)</t>
  </si>
  <si>
    <t>How did you calculate
the recyclable 
proportion?</t>
  </si>
  <si>
    <t>Weight of non-target 
material and contaminants
(Tonnes)</t>
  </si>
  <si>
    <t>Recyclable proportion 
(Percentage)</t>
  </si>
  <si>
    <t>Tonnage of UK packaging
waste received for recycling
(Automatically calculated)</t>
  </si>
  <si>
    <t>Supplier name</t>
  </si>
  <si>
    <t>First line of 
supplier address</t>
  </si>
  <si>
    <t>Supplier postcode</t>
  </si>
  <si>
    <t>Supplier email</t>
  </si>
  <si>
    <t>Supplier phone</t>
  </si>
  <si>
    <t>Activities carried out by
supplier on the packaging
waste
(For example, sorting)</t>
  </si>
  <si>
    <t>Your reference</t>
  </si>
  <si>
    <t>Weighbridge ticket 
number or scales 
reference</t>
  </si>
  <si>
    <t>Carrier name (if applicable)</t>
  </si>
  <si>
    <t>Waste carrier, broker, CBD or ROC registration number
(If applicable)</t>
  </si>
  <si>
    <t>Carrier vehicle registration                (if applicable)</t>
  </si>
  <si>
    <t>Comments 
(Optional)</t>
  </si>
  <si>
    <t>__EPR_DATA_UPDATE_WASTE_BALANCE</t>
  </si>
  <si>
    <t>OUR_REFERENCE</t>
  </si>
  <si>
    <t>DATE_RECEIVED</t>
  </si>
  <si>
    <t>EWC_CODE</t>
  </si>
  <si>
    <t>DESCRIPTION_WASTE</t>
  </si>
  <si>
    <t>GROSS_WEIGHT</t>
  </si>
  <si>
    <t>TARE_WEIGHT</t>
  </si>
  <si>
    <t>PALLET_WEIGHT</t>
  </si>
  <si>
    <t>NET_WEIGHT</t>
  </si>
  <si>
    <t>BAILING_WIRE</t>
  </si>
  <si>
    <t>HOW_CALCULATE_RECYCLABLE</t>
  </si>
  <si>
    <t>WEIGHT_OF_NON_TARGET</t>
  </si>
  <si>
    <t>RECYCLABLE_PROPORTION</t>
  </si>
  <si>
    <t>TONNAGE_RECEIVED_FOR_EXPORT</t>
  </si>
  <si>
    <t>__EPR_SKIP_COLUMN</t>
  </si>
  <si>
    <t>__EPR_DATA_MONTHLY_REPORTS</t>
  </si>
  <si>
    <t>SUPPLIER_NAME</t>
  </si>
  <si>
    <t>SUPPLIER_ADDRESS</t>
  </si>
  <si>
    <t>SUPPLIER_POSTCODE</t>
  </si>
  <si>
    <t>SUPPLIER_EMAIL</t>
  </si>
  <si>
    <t>SUPPLIER_PHONE</t>
  </si>
  <si>
    <t>ACTIVITIES_SUPPLIER</t>
  </si>
  <si>
    <t>__EPR_DATA_COMPLIANCE</t>
  </si>
  <si>
    <t>YOUR_REFERENCE</t>
  </si>
  <si>
    <t>WEIGHBRIDGE_TICKET</t>
  </si>
  <si>
    <t>CARRIER_NAME</t>
  </si>
  <si>
    <t>CBD_REG_NUMBER</t>
  </si>
  <si>
    <t>CARRIER_VEHICLE_REG_NUMBER</t>
  </si>
  <si>
    <t>COMMENTS</t>
  </si>
  <si>
    <t>Example</t>
  </si>
  <si>
    <t>Choose option</t>
  </si>
  <si>
    <t>Yes</t>
  </si>
  <si>
    <t>Joe Blogs Refinery</t>
  </si>
  <si>
    <t>15 Good  Street</t>
  </si>
  <si>
    <t>LA12 3CD</t>
  </si>
  <si>
    <r>
      <rPr>
        <sz val="12"/>
        <color indexed="18"/>
        <rFont val="Tahoma"/>
      </rPr>
      <t>jbr@bt.co.uk</t>
    </r>
  </si>
  <si>
    <t>Bailing</t>
  </si>
  <si>
    <t>W123456</t>
  </si>
  <si>
    <t>WB-78901</t>
  </si>
  <si>
    <t>WTN-2025-00123</t>
  </si>
  <si>
    <t>Friends Recycling</t>
  </si>
  <si>
    <t>109 Frog Avenue</t>
  </si>
  <si>
    <t>03 01 05</t>
  </si>
  <si>
    <t>Plastic-HDPE Bottles</t>
  </si>
  <si>
    <t>AAIG</t>
  </si>
  <si>
    <t>3 Arrows Recycling Solutions Ltd</t>
  </si>
  <si>
    <t>Milton Hall</t>
  </si>
  <si>
    <t>CB24 6WZ</t>
  </si>
  <si>
    <t>Webuy@boomerang.co.uk</t>
  </si>
  <si>
    <t>07985100113</t>
  </si>
  <si>
    <t>Sorting</t>
  </si>
  <si>
    <t>R123456</t>
  </si>
  <si>
    <t>WB-78902</t>
  </si>
  <si>
    <t>Acetech Metals Ltd</t>
  </si>
  <si>
    <t>CBD-123457</t>
  </si>
  <si>
    <t>AB12CDE</t>
  </si>
  <si>
    <t>All ok</t>
  </si>
  <si>
    <t>16 03 10</t>
  </si>
  <si>
    <t>Plastic-Mixed Rigid Plastic</t>
  </si>
  <si>
    <t>No</t>
  </si>
  <si>
    <t>National protocol %</t>
  </si>
  <si>
    <t>5 Star Plastics Ltd</t>
  </si>
  <si>
    <t>Central Business Park</t>
  </si>
  <si>
    <t>HP13 5HG</t>
  </si>
  <si>
    <t>AWJ@awjenkinsonwoodwaste.co.uk</t>
  </si>
  <si>
    <t>07466 368032</t>
  </si>
  <si>
    <t>Crunching</t>
  </si>
  <si>
    <t>R123457</t>
  </si>
  <si>
    <t>WB-78903</t>
  </si>
  <si>
    <t>Alutrade Ltd</t>
  </si>
  <si>
    <t>CBD-123458</t>
  </si>
  <si>
    <t>BE23FGH</t>
  </si>
  <si>
    <t>No issues</t>
  </si>
  <si>
    <t>11 03 10</t>
  </si>
  <si>
    <t>Plastic-Polypropylene (PP) - Pots, tubs and trays</t>
  </si>
  <si>
    <t>S&amp;I plan agreed Site Specific Protocol %</t>
  </si>
  <si>
    <t>99P Recycling Limited</t>
  </si>
  <si>
    <t>Office 3/13</t>
  </si>
  <si>
    <t>M35 9BG</t>
  </si>
  <si>
    <t>br@abclimited.co.uk</t>
  </si>
  <si>
    <t>0161 870 2721</t>
  </si>
  <si>
    <t>Collection</t>
  </si>
  <si>
    <t>R123458</t>
  </si>
  <si>
    <t>WB-78904</t>
  </si>
  <si>
    <t>Amasha Ltd</t>
  </si>
  <si>
    <t>CBD-123459</t>
  </si>
  <si>
    <t>CD23ABD</t>
  </si>
  <si>
    <t>Waste reciept confirmed</t>
  </si>
  <si>
    <t>03 03 08</t>
  </si>
  <si>
    <t>Plastic-Clear and Light Blue PET bottles</t>
  </si>
  <si>
    <t>S&amp;I plan agreed methodology</t>
  </si>
  <si>
    <t>A &amp; A Recycling Services Ltd</t>
  </si>
  <si>
    <t>A&amp;A Recycling Services Limited</t>
  </si>
  <si>
    <t>CV7 7LH</t>
  </si>
  <si>
    <t>Info@boostrecyclingltd.com</t>
  </si>
  <si>
    <t>Baling</t>
  </si>
  <si>
    <t>R123459</t>
  </si>
  <si>
    <t>WB-78905</t>
  </si>
  <si>
    <t>Asha Expo &amp; Co Ltd</t>
  </si>
  <si>
    <t>CBD-123460</t>
  </si>
  <si>
    <t>QW22WRP</t>
  </si>
  <si>
    <t>Actual weight (100%)</t>
  </si>
  <si>
    <t>A W Jenkinson Woodwaste Ltd</t>
  </si>
  <si>
    <t>hespin wood landfill site</t>
  </si>
  <si>
    <t>CA6 4BJ</t>
  </si>
  <si>
    <t>7467 368032</t>
  </si>
  <si>
    <t>R123460</t>
  </si>
  <si>
    <t>WB-78906</t>
  </si>
  <si>
    <t>Blue Phoenix Ltd</t>
  </si>
  <si>
    <t>CBD-123461</t>
  </si>
  <si>
    <t>HY72KKD</t>
  </si>
  <si>
    <t>No comments</t>
  </si>
  <si>
    <t>ABC Business Trading Ltd</t>
  </si>
  <si>
    <t>30 Wentworth Way</t>
  </si>
  <si>
    <t>B32 2UZ</t>
  </si>
  <si>
    <t>162 870 2721</t>
  </si>
  <si>
    <t>R123461</t>
  </si>
  <si>
    <t>WB-78907</t>
  </si>
  <si>
    <t>Britannia Beverages Ltd</t>
  </si>
  <si>
    <t>CBD-123462</t>
  </si>
  <si>
    <t>GR25YYU</t>
  </si>
  <si>
    <t>Update waste balance</t>
  </si>
  <si>
    <t>15 01 01</t>
  </si>
  <si>
    <t>Plastic-PVC packaging</t>
  </si>
  <si>
    <t>Studio 2</t>
  </si>
  <si>
    <t>HU1 1NQ</t>
  </si>
  <si>
    <t>01323 744057</t>
  </si>
  <si>
    <t>R123462</t>
  </si>
  <si>
    <t>WB-78908</t>
  </si>
  <si>
    <t>City Metals Recycling Ltd</t>
  </si>
  <si>
    <t>CBD-123463</t>
  </si>
  <si>
    <t>R18TRW</t>
  </si>
  <si>
    <t>Agnail UK Ltd</t>
  </si>
  <si>
    <t>1-4 SILVERWOOD INDUSTRIAL ESTATE</t>
  </si>
  <si>
    <t>bt666ln</t>
  </si>
  <si>
    <t>waste@starlastics.com</t>
  </si>
  <si>
    <t xml:space="preserve">0121 552 0330 </t>
  </si>
  <si>
    <t>R123463</t>
  </si>
  <si>
    <t>WB-78909</t>
  </si>
  <si>
    <t>Clearpoint Recycling Ltd</t>
  </si>
  <si>
    <t>CBD-123464</t>
  </si>
  <si>
    <t>FR50PTR</t>
  </si>
  <si>
    <t>Agricycle Ltd</t>
  </si>
  <si>
    <t>Barff Farm</t>
  </si>
  <si>
    <t>LN8 3AG</t>
  </si>
  <si>
    <t>info@99precycling.co.uk</t>
  </si>
  <si>
    <t>+447808 527343</t>
  </si>
  <si>
    <t>R123464</t>
  </si>
  <si>
    <t>WB-78910</t>
  </si>
  <si>
    <t>Dartmouth Global Trading Co Ltd</t>
  </si>
  <si>
    <t>CBD-123465</t>
  </si>
  <si>
    <t>HA25PPY</t>
  </si>
  <si>
    <t>03 03 99</t>
  </si>
  <si>
    <t>Plastic-Polypropylene (PP) - Other</t>
  </si>
  <si>
    <t>All Pallets Ltd</t>
  </si>
  <si>
    <t>Unit 6, Alder Close</t>
  </si>
  <si>
    <t>BN23 6QF</t>
  </si>
  <si>
    <t>ask@boltonbrothersltd.co.uk</t>
  </si>
  <si>
    <t>R123465</t>
  </si>
  <si>
    <t>WB-78911</t>
  </si>
  <si>
    <t>Day Group Ltd</t>
  </si>
  <si>
    <t>CBD-123466</t>
  </si>
  <si>
    <t>PA74PPY</t>
  </si>
  <si>
    <t>Langley Forge House</t>
  </si>
  <si>
    <t>B69 4NH</t>
  </si>
  <si>
    <t>R123466</t>
  </si>
  <si>
    <t>WB-78912</t>
  </si>
  <si>
    <t>FM Metals Limited</t>
  </si>
  <si>
    <t>CBD-123467</t>
  </si>
  <si>
    <t>MA24GGY</t>
  </si>
  <si>
    <t>AM Recycling Materials Ltd</t>
  </si>
  <si>
    <t>2 Leonard Place</t>
  </si>
  <si>
    <t>BR2 6HQ</t>
  </si>
  <si>
    <t>R123467</t>
  </si>
  <si>
    <t>WB-78913</t>
  </si>
  <si>
    <t>I2R Packaging Solutions Ltd</t>
  </si>
  <si>
    <t>CBD-123468</t>
  </si>
  <si>
    <t>GO1PRO</t>
  </si>
  <si>
    <t>03 03 10</t>
  </si>
  <si>
    <t>32 Boggs Holdings</t>
  </si>
  <si>
    <t>EH34 5BA</t>
  </si>
  <si>
    <t>info@3arrowsrecycling.co.uk</t>
  </si>
  <si>
    <t>01875341993</t>
  </si>
  <si>
    <t>R123468</t>
  </si>
  <si>
    <t>WB-78914</t>
  </si>
  <si>
    <t>Johnsons Aggregates and Recycling Ltd</t>
  </si>
  <si>
    <t>CBD-123469</t>
  </si>
  <si>
    <t>SH73OPP</t>
  </si>
  <si>
    <t>Plastic-LDPE Film Coloured</t>
  </si>
  <si>
    <t>AMG Resources Ltd</t>
  </si>
  <si>
    <t>Nevills Dock</t>
  </si>
  <si>
    <t>SA15 2HD</t>
  </si>
  <si>
    <t>01554 750791</t>
  </si>
  <si>
    <t>R123469</t>
  </si>
  <si>
    <t>WB-78915</t>
  </si>
  <si>
    <t>Monoworld Recycling Ltd</t>
  </si>
  <si>
    <t>CBD-123470</t>
  </si>
  <si>
    <t>GR1WWA</t>
  </si>
  <si>
    <t>03 03 07</t>
  </si>
  <si>
    <t>Plastic-Polyethylene Terephthalate (PET) Other</t>
  </si>
  <si>
    <t>Anglia Green Recycling Ltd</t>
  </si>
  <si>
    <t xml:space="preserve">35 Gunton Road </t>
  </si>
  <si>
    <t>NR18 0QP</t>
  </si>
  <si>
    <t>R123470</t>
  </si>
  <si>
    <t>WB-78916</t>
  </si>
  <si>
    <t>Mulholland Scrap Metals Ltd</t>
  </si>
  <si>
    <t>CBD-123471</t>
  </si>
  <si>
    <t>MA71NGO</t>
  </si>
  <si>
    <t>20 01 39</t>
  </si>
  <si>
    <t>Plastic-Polyethylene Terephthalate (PET) Flake</t>
  </si>
  <si>
    <t>AP Concept UK Ltd</t>
  </si>
  <si>
    <t>Suite 50-55, Bradbourne House</t>
  </si>
  <si>
    <t>ME19 6DZ</t>
  </si>
  <si>
    <t>dano@aarecycling.co.uk</t>
  </si>
  <si>
    <t>01622 618 715</t>
  </si>
  <si>
    <t>R123471</t>
  </si>
  <si>
    <t>WB-78917</t>
  </si>
  <si>
    <t>N+P Crayford MRF Limited</t>
  </si>
  <si>
    <t>CBD-123472</t>
  </si>
  <si>
    <t>AP70PPL</t>
  </si>
  <si>
    <t>Section 4: Reprocessed</t>
  </si>
  <si>
    <t>Provide all the information in this section when your packaging waste has been reprocessed.</t>
  </si>
  <si>
    <t>Date load left site</t>
  </si>
  <si>
    <t>Weighbridge ticket number
or scales reference</t>
  </si>
  <si>
    <t>Haulier name</t>
  </si>
  <si>
    <t>Haulier vehicle registration</t>
  </si>
  <si>
    <t>Date recycled</t>
  </si>
  <si>
    <t xml:space="preserve">Description of product
</t>
  </si>
  <si>
    <t>End of waste standards
(if applicable)</t>
  </si>
  <si>
    <t xml:space="preserve">Product tonnage
</t>
  </si>
  <si>
    <t xml:space="preserve">Name of customer
</t>
  </si>
  <si>
    <t xml:space="preserve">Customer invoice or contract reference
</t>
  </si>
  <si>
    <t>__EPR_DATA_REPROCESSED</t>
  </si>
  <si>
    <t>DATE_LOAD_LEFT_SITE</t>
  </si>
  <si>
    <t>HAULIER_NAME</t>
  </si>
  <si>
    <t>HAULIER_VEHICLE_REG_NUMBER</t>
  </si>
  <si>
    <t>DATE_RECYCLED</t>
  </si>
  <si>
    <t>PRODUCT_DESCRIPTION</t>
  </si>
  <si>
    <t>END_WASTE</t>
  </si>
  <si>
    <t>PRODUCT_WEIGHT</t>
  </si>
  <si>
    <t>CUSTOMER_NAME</t>
  </si>
  <si>
    <t>CUSTOMER_INV</t>
  </si>
  <si>
    <t>Great Limited</t>
  </si>
  <si>
    <t>345 High Low Street</t>
  </si>
  <si>
    <t>First way Limited</t>
  </si>
  <si>
    <t>INV-987654321</t>
  </si>
  <si>
    <t>WB-8902</t>
  </si>
  <si>
    <t>Steel cans</t>
  </si>
  <si>
    <t>INV-1</t>
  </si>
  <si>
    <t>WB-8903</t>
  </si>
  <si>
    <t>SW18MME</t>
  </si>
  <si>
    <t>Wood fines</t>
  </si>
  <si>
    <t>INV-2</t>
  </si>
  <si>
    <t>WB-8904</t>
  </si>
  <si>
    <t>TIG24ER</t>
  </si>
  <si>
    <t>Clean steel</t>
  </si>
  <si>
    <t>INV-3</t>
  </si>
  <si>
    <t>Plastic Bottles</t>
  </si>
  <si>
    <t>INV-4</t>
  </si>
  <si>
    <t>HO74WWW</t>
  </si>
  <si>
    <t>INV-5</t>
  </si>
  <si>
    <t>WB-8905</t>
  </si>
  <si>
    <t>WH24YYY</t>
  </si>
  <si>
    <t>INV-6</t>
  </si>
  <si>
    <t>Bottle caps</t>
  </si>
  <si>
    <t>INV-7</t>
  </si>
  <si>
    <t>INV-8</t>
  </si>
  <si>
    <t>WB-8906</t>
  </si>
  <si>
    <t>INV-9</t>
  </si>
  <si>
    <t>Glass mirrors</t>
  </si>
  <si>
    <t>INV-10</t>
  </si>
  <si>
    <t>INV-11</t>
  </si>
  <si>
    <t>WB-8907</t>
  </si>
  <si>
    <t>INV-12</t>
  </si>
  <si>
    <t>Glass Aggregates</t>
  </si>
  <si>
    <t>INV-13</t>
  </si>
  <si>
    <t>INV-14</t>
  </si>
  <si>
    <t>WB-8908</t>
  </si>
  <si>
    <t>INV-15</t>
  </si>
  <si>
    <t>WB-8909</t>
  </si>
  <si>
    <t>INV-16</t>
  </si>
  <si>
    <t>Section 5: Waste sent on</t>
  </si>
  <si>
    <t>Provide all the information in this section if any loads of packaging waste have been sent on. These loads will be removed from your waste balance.</t>
  </si>
  <si>
    <t>Tonnage of UK packaging
waste sent on</t>
  </si>
  <si>
    <t>Final destination facility type</t>
  </si>
  <si>
    <t>Final destination facility name</t>
  </si>
  <si>
    <t>First line of final destination facility address</t>
  </si>
  <si>
    <t>Final destination facility 
postcode</t>
  </si>
  <si>
    <t>Final destination facility 
email</t>
  </si>
  <si>
    <t>Final destination facility 
phone</t>
  </si>
  <si>
    <t>Comments
(Optional)</t>
  </si>
  <si>
    <t>__EPR_DATA_SENT_ON</t>
  </si>
  <si>
    <t>TONNAGE_OF_UK_PACKAGING_WASTE_SENT_ON</t>
  </si>
  <si>
    <t>FINAL_DESTINATION_FACILITY_TYPE</t>
  </si>
  <si>
    <t>FINAL_DESTINATION_NAME</t>
  </si>
  <si>
    <t>FINAL_DESTINATION_ADDRESS</t>
  </si>
  <si>
    <t>FINAL_DESTINATION_POSTCODE</t>
  </si>
  <si>
    <t>FINAL_DESTINATION_EMAIL</t>
  </si>
  <si>
    <t>FINAL_DESTINATION_PHONE</t>
  </si>
  <si>
    <t>Reprocessor</t>
  </si>
  <si>
    <t>SO11 7ME</t>
  </si>
  <si>
    <r>
      <rPr>
        <u val="single"/>
        <sz val="12"/>
        <color indexed="25"/>
        <rFont val="Tahoma"/>
      </rPr>
      <t>info@great.co.uk</t>
    </r>
  </si>
  <si>
    <t>W123457</t>
  </si>
  <si>
    <t>Plastic - Natural HDPE Bottles</t>
  </si>
  <si>
    <t>Exporter</t>
  </si>
  <si>
    <t>Other</t>
  </si>
  <si>
    <t>W123459</t>
  </si>
  <si>
    <t>W123460</t>
  </si>
  <si>
    <t>W123461</t>
  </si>
  <si>
    <t>W123462</t>
  </si>
  <si>
    <t>W123463</t>
  </si>
  <si>
    <t>W123464</t>
  </si>
  <si>
    <t>W123465</t>
  </si>
  <si>
    <t>W123466</t>
  </si>
  <si>
    <t>W123467</t>
  </si>
  <si>
    <t>W123468</t>
  </si>
  <si>
    <t>W123469</t>
  </si>
  <si>
    <t>W123470</t>
  </si>
  <si>
    <t>W123471</t>
  </si>
  <si>
    <t>W123472</t>
  </si>
  <si>
    <t>01 01 01</t>
  </si>
  <si>
    <t>01 01 02</t>
  </si>
  <si>
    <t>01 03 04*</t>
  </si>
  <si>
    <t>01 03 05*</t>
  </si>
  <si>
    <t>01 03 06</t>
  </si>
  <si>
    <t>01 03 07*</t>
  </si>
  <si>
    <t>01 03 08</t>
  </si>
  <si>
    <t>01 03 09</t>
  </si>
  <si>
    <t>01 03 99</t>
  </si>
  <si>
    <t>01 04 07*</t>
  </si>
  <si>
    <t>01 04 08</t>
  </si>
  <si>
    <t>01 04 09</t>
  </si>
  <si>
    <t>01 04 10</t>
  </si>
  <si>
    <t>01 04 11</t>
  </si>
  <si>
    <t>01 04 12</t>
  </si>
  <si>
    <t>01 04 13</t>
  </si>
  <si>
    <t>01 04 99</t>
  </si>
  <si>
    <t>01 05 04</t>
  </si>
  <si>
    <t>01 05 05*</t>
  </si>
  <si>
    <t>01 05 06*</t>
  </si>
  <si>
    <t>01 05 07</t>
  </si>
  <si>
    <t>01 05 08</t>
  </si>
  <si>
    <t>01 05 99</t>
  </si>
  <si>
    <t>02 01 01</t>
  </si>
  <si>
    <t>02 01 02</t>
  </si>
  <si>
    <t>02 01 03</t>
  </si>
  <si>
    <t>02 01 04</t>
  </si>
  <si>
    <t>02 01 06</t>
  </si>
  <si>
    <t>02 01 07</t>
  </si>
  <si>
    <t>02 01 08*</t>
  </si>
  <si>
    <t>02 01 09</t>
  </si>
  <si>
    <t>02 01 10</t>
  </si>
  <si>
    <t>02 01 99</t>
  </si>
  <si>
    <t>02 02 01</t>
  </si>
  <si>
    <t>02 02 02</t>
  </si>
  <si>
    <t>02 02 03</t>
  </si>
  <si>
    <t>02 02 04</t>
  </si>
  <si>
    <t>02 02 99</t>
  </si>
  <si>
    <t>02 03 01</t>
  </si>
  <si>
    <t>02 03 02</t>
  </si>
  <si>
    <t>02 03 03</t>
  </si>
  <si>
    <t>02 03 04</t>
  </si>
  <si>
    <t>02 03 05</t>
  </si>
  <si>
    <t>02 03 99</t>
  </si>
  <si>
    <t>02 04 01</t>
  </si>
  <si>
    <t>02 04 02</t>
  </si>
  <si>
    <t>02 04 03</t>
  </si>
  <si>
    <t>02 04 99</t>
  </si>
  <si>
    <t>02 05 01</t>
  </si>
  <si>
    <t>02 05 02</t>
  </si>
  <si>
    <t>02 05 99</t>
  </si>
  <si>
    <t>02 06 01</t>
  </si>
  <si>
    <t>02 06 02</t>
  </si>
  <si>
    <t>02 06 03</t>
  </si>
  <si>
    <t>02 06 99</t>
  </si>
  <si>
    <t>02 07 01</t>
  </si>
  <si>
    <t>02 07 02</t>
  </si>
  <si>
    <t>02 07 03</t>
  </si>
  <si>
    <t>02 07 04</t>
  </si>
  <si>
    <t>02 07 05</t>
  </si>
  <si>
    <t>02 07 99</t>
  </si>
  <si>
    <t>03 01 01</t>
  </si>
  <si>
    <t>03 01 04*</t>
  </si>
  <si>
    <t>03 01 99</t>
  </si>
  <si>
    <t>03 02 01*</t>
  </si>
  <si>
    <t>03 02 02*</t>
  </si>
  <si>
    <t>03 02 03*</t>
  </si>
  <si>
    <t>03 02 04*</t>
  </si>
  <si>
    <t>03 02 05*</t>
  </si>
  <si>
    <t>03 02 99</t>
  </si>
  <si>
    <t>03 03 01</t>
  </si>
  <si>
    <t>03 03 02</t>
  </si>
  <si>
    <t>03 03 05</t>
  </si>
  <si>
    <t>03 03 09</t>
  </si>
  <si>
    <t>03 03 11</t>
  </si>
  <si>
    <t>04 01 01</t>
  </si>
  <si>
    <t>04 01 02</t>
  </si>
  <si>
    <t>04 01 03*</t>
  </si>
  <si>
    <t>04 01 04</t>
  </si>
  <si>
    <t>04 01 05</t>
  </si>
  <si>
    <t>04 01 06</t>
  </si>
  <si>
    <t>04 01 07</t>
  </si>
  <si>
    <t>04 01 08</t>
  </si>
  <si>
    <t>04 01 09</t>
  </si>
  <si>
    <t>04 01 99</t>
  </si>
  <si>
    <t>04 02 09</t>
  </si>
  <si>
    <t>04 02 10</t>
  </si>
  <si>
    <t>04 02 14*</t>
  </si>
  <si>
    <t>04 02 15</t>
  </si>
  <si>
    <t>04 02 16*</t>
  </si>
  <si>
    <t>04 02 17</t>
  </si>
  <si>
    <t>04 02 19*</t>
  </si>
  <si>
    <t>04 02 20</t>
  </si>
  <si>
    <t>04 02 21</t>
  </si>
  <si>
    <t>04 02 22</t>
  </si>
  <si>
    <t>04 02 99</t>
  </si>
  <si>
    <t>05 01 02*</t>
  </si>
  <si>
    <t>05 01 03*</t>
  </si>
  <si>
    <t>05 01 04*</t>
  </si>
  <si>
    <t>05 01 05*</t>
  </si>
  <si>
    <t>05 01 06*</t>
  </si>
  <si>
    <t>05 01 07*</t>
  </si>
  <si>
    <t>05 01 08*</t>
  </si>
  <si>
    <t>05 01 09*</t>
  </si>
  <si>
    <t>05 01 10</t>
  </si>
  <si>
    <t>05 01 11*</t>
  </si>
  <si>
    <t>05 01 12*</t>
  </si>
  <si>
    <t>05 01 13</t>
  </si>
  <si>
    <t>05 01 14</t>
  </si>
  <si>
    <t>05 01 15*</t>
  </si>
  <si>
    <t>05 01 16</t>
  </si>
  <si>
    <t>05 01 17</t>
  </si>
  <si>
    <t>05 01 99</t>
  </si>
  <si>
    <t>05 06 01*</t>
  </si>
  <si>
    <t>05 06 03*</t>
  </si>
  <si>
    <t>05 06 04</t>
  </si>
  <si>
    <t>05 06 99</t>
  </si>
  <si>
    <t>05 07 01*</t>
  </si>
  <si>
    <t>05 07 02</t>
  </si>
  <si>
    <t>05 07 99</t>
  </si>
  <si>
    <t>06 01 01*</t>
  </si>
  <si>
    <t>06 01 02*</t>
  </si>
  <si>
    <t>06 01 03*</t>
  </si>
  <si>
    <t>06 01 04*</t>
  </si>
  <si>
    <t>06 01 05*</t>
  </si>
  <si>
    <t>06 01 06*</t>
  </si>
  <si>
    <t>06 01 99</t>
  </si>
  <si>
    <t>06 02 01*</t>
  </si>
  <si>
    <t>06 02 03*</t>
  </si>
  <si>
    <t>06 02 04*</t>
  </si>
  <si>
    <t>06 02 05*</t>
  </si>
  <si>
    <t>06 02 99</t>
  </si>
  <si>
    <t>06 03 11*</t>
  </si>
  <si>
    <t>06 03 13*</t>
  </si>
  <si>
    <t>06 03 14</t>
  </si>
  <si>
    <t>06 03 15*</t>
  </si>
  <si>
    <t>06 03 16</t>
  </si>
  <si>
    <t>06 03 99</t>
  </si>
  <si>
    <t>06 04 03*</t>
  </si>
  <si>
    <t>06 04 04*</t>
  </si>
  <si>
    <t>06 04 05*</t>
  </si>
  <si>
    <t>06 04 99</t>
  </si>
  <si>
    <t>06 05 02*</t>
  </si>
  <si>
    <t>06 05 03</t>
  </si>
  <si>
    <t>06 06 02*</t>
  </si>
  <si>
    <t>06 06 03</t>
  </si>
  <si>
    <t>06 06 99</t>
  </si>
  <si>
    <t>06 07 01*</t>
  </si>
  <si>
    <t>06 07 02*</t>
  </si>
  <si>
    <t>06 07 03*</t>
  </si>
  <si>
    <t>06 07 04*</t>
  </si>
  <si>
    <t>06 07 99</t>
  </si>
  <si>
    <t>06 08 02*</t>
  </si>
  <si>
    <t>06 08 99</t>
  </si>
  <si>
    <t>06 09 02</t>
  </si>
  <si>
    <t>06 09 03*</t>
  </si>
  <si>
    <t>06 09 04</t>
  </si>
  <si>
    <t>06 09 99</t>
  </si>
  <si>
    <t>06 10 02*</t>
  </si>
  <si>
    <t>06 10 99</t>
  </si>
  <si>
    <t>06 11 01</t>
  </si>
  <si>
    <t>06 11 99</t>
  </si>
  <si>
    <t>06 13 01*</t>
  </si>
  <si>
    <t>06 13 02*</t>
  </si>
  <si>
    <t>06 13 03</t>
  </si>
  <si>
    <t>06 13 04*</t>
  </si>
  <si>
    <t>06 13 05*</t>
  </si>
  <si>
    <t>06 13 99</t>
  </si>
  <si>
    <t>07 01 01*</t>
  </si>
  <si>
    <t>07 01 03*</t>
  </si>
  <si>
    <t>07 01 04*</t>
  </si>
  <si>
    <t>07 01 07*</t>
  </si>
  <si>
    <t>07 01 08*</t>
  </si>
  <si>
    <t>07 01 09*</t>
  </si>
  <si>
    <t>07 01 10*</t>
  </si>
  <si>
    <t>07 01 11*</t>
  </si>
  <si>
    <t>07 01 12</t>
  </si>
  <si>
    <t>07 01 99</t>
  </si>
  <si>
    <t>07 02 01*</t>
  </si>
  <si>
    <t>07 02 03*</t>
  </si>
  <si>
    <t>07 02 04*</t>
  </si>
  <si>
    <t>07 02 07*</t>
  </si>
  <si>
    <t>07 02 08*</t>
  </si>
  <si>
    <t>07 02 09*</t>
  </si>
  <si>
    <t>07 02 10*</t>
  </si>
  <si>
    <t>07 02 11*</t>
  </si>
  <si>
    <t>07 02 12</t>
  </si>
  <si>
    <t>07 02 13</t>
  </si>
  <si>
    <t>07 02 14*</t>
  </si>
  <si>
    <t>07 02 15</t>
  </si>
  <si>
    <t>07 02 16*</t>
  </si>
  <si>
    <t>07 02 17</t>
  </si>
  <si>
    <t>07 02 99</t>
  </si>
  <si>
    <t>07 03 01*</t>
  </si>
  <si>
    <t>07 03 03*</t>
  </si>
  <si>
    <t>07 03 04*</t>
  </si>
  <si>
    <t>07 03 07*</t>
  </si>
  <si>
    <t>07 03 08*</t>
  </si>
  <si>
    <t>07 03 09*</t>
  </si>
  <si>
    <t>07 03 10*</t>
  </si>
  <si>
    <t>07 03 11*</t>
  </si>
  <si>
    <t>07 03 12</t>
  </si>
  <si>
    <t>07 03 99</t>
  </si>
  <si>
    <t>07 04 01*</t>
  </si>
  <si>
    <t>07 04 03*</t>
  </si>
  <si>
    <t>07 04 04*</t>
  </si>
  <si>
    <t>07 04 07*</t>
  </si>
  <si>
    <t>07 04 08*</t>
  </si>
  <si>
    <t>07 04 09*</t>
  </si>
  <si>
    <t>07 04 10*</t>
  </si>
  <si>
    <t>07 04 11*</t>
  </si>
  <si>
    <t>07 04 12</t>
  </si>
  <si>
    <t>07 04 13*</t>
  </si>
  <si>
    <t>07 04 99</t>
  </si>
  <si>
    <t>07 05 01*</t>
  </si>
  <si>
    <t>07 05 03*</t>
  </si>
  <si>
    <t>07 05 04*</t>
  </si>
  <si>
    <t>07 05 07*</t>
  </si>
  <si>
    <t>07 05 08*</t>
  </si>
  <si>
    <t>07 05 09*</t>
  </si>
  <si>
    <t>07 05 10*</t>
  </si>
  <si>
    <t>07 05 11*</t>
  </si>
  <si>
    <t>07 05 12</t>
  </si>
  <si>
    <t>07 05 13*</t>
  </si>
  <si>
    <t>07 05 14</t>
  </si>
  <si>
    <t>07 05 99</t>
  </si>
  <si>
    <t>07 06 01*</t>
  </si>
  <si>
    <t>07 06 03*</t>
  </si>
  <si>
    <t>07 06 04*</t>
  </si>
  <si>
    <t>07 06 07*</t>
  </si>
  <si>
    <t>07 06 08*</t>
  </si>
  <si>
    <t>07 06 09*</t>
  </si>
  <si>
    <t>07 06 10*</t>
  </si>
  <si>
    <t>07 06 11*</t>
  </si>
  <si>
    <t>07 06 12</t>
  </si>
  <si>
    <t>07 06 99</t>
  </si>
  <si>
    <t>07 07 01*</t>
  </si>
  <si>
    <t>07 07 03*</t>
  </si>
  <si>
    <t>07 07 04*</t>
  </si>
  <si>
    <t>07 07 07*</t>
  </si>
  <si>
    <t>07 07 08*</t>
  </si>
  <si>
    <t>07 07 09*</t>
  </si>
  <si>
    <t>07 07 10*</t>
  </si>
  <si>
    <t>07 07 11*</t>
  </si>
  <si>
    <t>07 07 12</t>
  </si>
  <si>
    <t>07 07 99</t>
  </si>
  <si>
    <t>08 01 11*</t>
  </si>
  <si>
    <t>08 01 12</t>
  </si>
  <si>
    <t>08 01 13*</t>
  </si>
  <si>
    <t>08 01 14</t>
  </si>
  <si>
    <t>08 01 15*</t>
  </si>
  <si>
    <t>08 01 16</t>
  </si>
  <si>
    <t>08 02 01</t>
  </si>
  <si>
    <t>08 02 02</t>
  </si>
  <si>
    <t>08 02 03</t>
  </si>
  <si>
    <t>08 02 99</t>
  </si>
  <si>
    <t>08 03 07</t>
  </si>
  <si>
    <t>08 03 08</t>
  </si>
  <si>
    <t>08 03 12*</t>
  </si>
  <si>
    <t>08 03 13</t>
  </si>
  <si>
    <t>08 03 14*</t>
  </si>
  <si>
    <t>08 03 15</t>
  </si>
  <si>
    <t>08 03 16*</t>
  </si>
  <si>
    <t>08 03 17*</t>
  </si>
  <si>
    <t>08 03 18</t>
  </si>
  <si>
    <t>08 03 19*</t>
  </si>
  <si>
    <t>08 03 99</t>
  </si>
  <si>
    <t>08 04 09*</t>
  </si>
  <si>
    <t>08 04 10</t>
  </si>
  <si>
    <t>08 04 11*</t>
  </si>
  <si>
    <t>08 04 12</t>
  </si>
  <si>
    <t>08 04 13*</t>
  </si>
  <si>
    <t>08 04 14</t>
  </si>
  <si>
    <t>08 04 15*</t>
  </si>
  <si>
    <t>08 04 16</t>
  </si>
  <si>
    <t>08 04 17*</t>
  </si>
  <si>
    <t>08 04 99</t>
  </si>
  <si>
    <t>08 05 01*</t>
  </si>
  <si>
    <t>09 01 01*</t>
  </si>
  <si>
    <t>09 01 02*</t>
  </si>
  <si>
    <t>09 01 03*</t>
  </si>
  <si>
    <t>09 01 04*</t>
  </si>
  <si>
    <t>09 01 05*</t>
  </si>
  <si>
    <t>09 01 06*</t>
  </si>
  <si>
    <t>09 01 07</t>
  </si>
  <si>
    <t>09 01 08</t>
  </si>
  <si>
    <t>09 01 10</t>
  </si>
  <si>
    <t>09 01 11*</t>
  </si>
  <si>
    <t>09 01 12</t>
  </si>
  <si>
    <t>09 01 13*</t>
  </si>
  <si>
    <t>09 01 99</t>
  </si>
  <si>
    <t>10 01 01</t>
  </si>
  <si>
    <t>10 01 02</t>
  </si>
  <si>
    <t>10 01 03</t>
  </si>
  <si>
    <t>10 01 04*</t>
  </si>
  <si>
    <t>10 01 05</t>
  </si>
  <si>
    <t>10 01 07</t>
  </si>
  <si>
    <t>10 01 09*</t>
  </si>
  <si>
    <t>10 01 13*</t>
  </si>
  <si>
    <t>10 01 14*</t>
  </si>
  <si>
    <t>10 01 15</t>
  </si>
  <si>
    <t>10 01 16*</t>
  </si>
  <si>
    <t>10 01 17</t>
  </si>
  <si>
    <t>10 01 18*</t>
  </si>
  <si>
    <t>10 01 19</t>
  </si>
  <si>
    <t>10 01 20*</t>
  </si>
  <si>
    <t>10 01 21</t>
  </si>
  <si>
    <t>10 01 22*</t>
  </si>
  <si>
    <t>10 01 23</t>
  </si>
  <si>
    <t>10 01 24</t>
  </si>
  <si>
    <t>10 01 25</t>
  </si>
  <si>
    <t>10 01 26</t>
  </si>
  <si>
    <t>10 01 99</t>
  </si>
  <si>
    <t>10 02 01</t>
  </si>
  <si>
    <t>10 02 02</t>
  </si>
  <si>
    <t>10 02 07*</t>
  </si>
  <si>
    <t>10 02 08</t>
  </si>
  <si>
    <t>10 02 10</t>
  </si>
  <si>
    <t>10 02 11*</t>
  </si>
  <si>
    <t>10 02 12</t>
  </si>
  <si>
    <t>10 02 13*</t>
  </si>
  <si>
    <t>10 02 14</t>
  </si>
  <si>
    <t>10 02 15</t>
  </si>
  <si>
    <t>10 02 99</t>
  </si>
  <si>
    <t>10 03 02</t>
  </si>
  <si>
    <t>10 03 04*</t>
  </si>
  <si>
    <t>10 03 05</t>
  </si>
  <si>
    <t>10 03 08*</t>
  </si>
  <si>
    <t>10 03 09*</t>
  </si>
  <si>
    <t>10 03 15*</t>
  </si>
  <si>
    <t>10 03 16</t>
  </si>
  <si>
    <t>10 03 17*</t>
  </si>
  <si>
    <t>10 03 18</t>
  </si>
  <si>
    <t>10 03 19*</t>
  </si>
  <si>
    <t>10 03 20</t>
  </si>
  <si>
    <t>10 03 21*</t>
  </si>
  <si>
    <t>10 03 22</t>
  </si>
  <si>
    <t>10 03 23*</t>
  </si>
  <si>
    <t>10 03 24</t>
  </si>
  <si>
    <t>10 03 25*</t>
  </si>
  <si>
    <t>10 03 26</t>
  </si>
  <si>
    <t>10 03 27*</t>
  </si>
  <si>
    <t>10 03 28</t>
  </si>
  <si>
    <t>10 03 29*</t>
  </si>
  <si>
    <t>10 03 30</t>
  </si>
  <si>
    <t>10 03 99</t>
  </si>
  <si>
    <t>10 04 01*</t>
  </si>
  <si>
    <t>10 04 02*</t>
  </si>
  <si>
    <t>10 04 03*</t>
  </si>
  <si>
    <t>10 04 04*</t>
  </si>
  <si>
    <t>10 04 05*</t>
  </si>
  <si>
    <t>10 04 06*</t>
  </si>
  <si>
    <t>10 04 07*</t>
  </si>
  <si>
    <t>10 04 09*</t>
  </si>
  <si>
    <t>10 04 10</t>
  </si>
  <si>
    <t>10 04 99</t>
  </si>
  <si>
    <t>10 05 01</t>
  </si>
  <si>
    <t>10 05 03*</t>
  </si>
  <si>
    <t>10 05 04</t>
  </si>
  <si>
    <t>10 05 05*</t>
  </si>
  <si>
    <t>10 05 06*</t>
  </si>
  <si>
    <t>10 05 08*</t>
  </si>
  <si>
    <t>10 05 09</t>
  </si>
  <si>
    <t>10 05 10*</t>
  </si>
  <si>
    <t>10 05 11</t>
  </si>
  <si>
    <t>10 05 99</t>
  </si>
  <si>
    <t>10 06 01</t>
  </si>
  <si>
    <t>10 06 02</t>
  </si>
  <si>
    <t>10 06 03*</t>
  </si>
  <si>
    <t>10 06 04</t>
  </si>
  <si>
    <t>10 06 06*</t>
  </si>
  <si>
    <t>10 06 07*</t>
  </si>
  <si>
    <t>10 06 09*</t>
  </si>
  <si>
    <t>10 06 10</t>
  </si>
  <si>
    <t>10 06 99</t>
  </si>
  <si>
    <t>10 07 01</t>
  </si>
  <si>
    <t>10 07 02</t>
  </si>
  <si>
    <t>10 07 03</t>
  </si>
  <si>
    <t>10 07 04</t>
  </si>
  <si>
    <t>10 07 05</t>
  </si>
  <si>
    <t>10 07 07*</t>
  </si>
  <si>
    <t>10 07 08</t>
  </si>
  <si>
    <t>10 07 99</t>
  </si>
  <si>
    <t>10 08 04</t>
  </si>
  <si>
    <t>10 08 08*</t>
  </si>
  <si>
    <t>10 08 09</t>
  </si>
  <si>
    <t>10 08 10*</t>
  </si>
  <si>
    <t>10 08 11</t>
  </si>
  <si>
    <t>10 08 12*</t>
  </si>
  <si>
    <t>10 08 13</t>
  </si>
  <si>
    <t>10 08 14</t>
  </si>
  <si>
    <t>10 08 15*</t>
  </si>
  <si>
    <t>10 08 16</t>
  </si>
  <si>
    <t>10 08 17*</t>
  </si>
  <si>
    <t>10 08 18</t>
  </si>
  <si>
    <t>10 08 19*</t>
  </si>
  <si>
    <t>10 08 20</t>
  </si>
  <si>
    <t>10 08 99</t>
  </si>
  <si>
    <t>10 09 03</t>
  </si>
  <si>
    <t>10 09 05*</t>
  </si>
  <si>
    <t>10 09 06</t>
  </si>
  <si>
    <t>10 09 07*</t>
  </si>
  <si>
    <t>10 09 08</t>
  </si>
  <si>
    <t>10 09 09*</t>
  </si>
  <si>
    <t>10 09 10</t>
  </si>
  <si>
    <t>10 09 11*</t>
  </si>
  <si>
    <t>10 09 12</t>
  </si>
  <si>
    <t>10 09 13*</t>
  </si>
  <si>
    <t>10 09 14</t>
  </si>
  <si>
    <t>10 09 15*</t>
  </si>
  <si>
    <t>10 09 16</t>
  </si>
  <si>
    <t>10 09 99</t>
  </si>
  <si>
    <t>10 10 03</t>
  </si>
  <si>
    <t>10 10 05*</t>
  </si>
  <si>
    <t>10 10 06</t>
  </si>
  <si>
    <t>10 10 07*</t>
  </si>
  <si>
    <t>10 10 08</t>
  </si>
  <si>
    <t>10 10 09*</t>
  </si>
  <si>
    <t>10 10 10</t>
  </si>
  <si>
    <t>10 10 11*</t>
  </si>
  <si>
    <t>10 10 12</t>
  </si>
  <si>
    <t>10 10 13*</t>
  </si>
  <si>
    <t>10 10 14</t>
  </si>
  <si>
    <t>10 10 15*</t>
  </si>
  <si>
    <t>10 10 16</t>
  </si>
  <si>
    <t>10 10 99</t>
  </si>
  <si>
    <t>10 11 03</t>
  </si>
  <si>
    <t>10 11 05</t>
  </si>
  <si>
    <t>10 11 09*</t>
  </si>
  <si>
    <t>10 11 10</t>
  </si>
  <si>
    <t>10 11 11*</t>
  </si>
  <si>
    <t>10 11 12</t>
  </si>
  <si>
    <t>10 11 13*</t>
  </si>
  <si>
    <t>10 11 14</t>
  </si>
  <si>
    <t>10 11 15*</t>
  </si>
  <si>
    <t>10 11 16</t>
  </si>
  <si>
    <t>10 11 17*</t>
  </si>
  <si>
    <t>10 11 18</t>
  </si>
  <si>
    <t>10 11 19*</t>
  </si>
  <si>
    <t>10 11 20</t>
  </si>
  <si>
    <t>10 11 99</t>
  </si>
  <si>
    <t>10 12 01</t>
  </si>
  <si>
    <t>10 12 03</t>
  </si>
  <si>
    <t>10 12 05</t>
  </si>
  <si>
    <t>10 12 06</t>
  </si>
  <si>
    <t>10 12 08</t>
  </si>
  <si>
    <t>10 12 09*</t>
  </si>
  <si>
    <t>10 12 10</t>
  </si>
  <si>
    <t>10 12 11*</t>
  </si>
  <si>
    <t>10 12 12</t>
  </si>
  <si>
    <t>10 12 13</t>
  </si>
  <si>
    <t>10 12 99</t>
  </si>
  <si>
    <t>10 13 01</t>
  </si>
  <si>
    <t>10 13 04</t>
  </si>
  <si>
    <t>10 13 06</t>
  </si>
  <si>
    <t>10 13 09*</t>
  </si>
  <si>
    <t>10 13 10</t>
  </si>
  <si>
    <t>10 13 11</t>
  </si>
  <si>
    <t>10 13 12*</t>
  </si>
  <si>
    <t>10 13 13</t>
  </si>
  <si>
    <t>10 13 14</t>
  </si>
  <si>
    <t>10 13 99</t>
  </si>
  <si>
    <t>10 14 01*</t>
  </si>
  <si>
    <t>11 01 05*</t>
  </si>
  <si>
    <t>11 01 06*</t>
  </si>
  <si>
    <t>11 01 07*</t>
  </si>
  <si>
    <t>11 01 08*</t>
  </si>
  <si>
    <t>11 01 09*</t>
  </si>
  <si>
    <t>11 01 10</t>
  </si>
  <si>
    <t>11 01 11*</t>
  </si>
  <si>
    <t>11 01 12</t>
  </si>
  <si>
    <t>11 01 13*</t>
  </si>
  <si>
    <t>11 01 14</t>
  </si>
  <si>
    <t>11 01 15*</t>
  </si>
  <si>
    <t>11 01 16*</t>
  </si>
  <si>
    <t>11 01 98*</t>
  </si>
  <si>
    <t>11 01 99</t>
  </si>
  <si>
    <t>11 02 02*</t>
  </si>
  <si>
    <t>11 02 03</t>
  </si>
  <si>
    <t>11 02 05*</t>
  </si>
  <si>
    <t>11 02 06</t>
  </si>
  <si>
    <t>11 02 07*</t>
  </si>
  <si>
    <t>11 02 99</t>
  </si>
  <si>
    <t>11 03 01*</t>
  </si>
  <si>
    <t>11 03 02*</t>
  </si>
  <si>
    <t>11 05 01</t>
  </si>
  <si>
    <t>11 05 02</t>
  </si>
  <si>
    <t>11 05 03*</t>
  </si>
  <si>
    <t>11 05 04*</t>
  </si>
  <si>
    <t>11 05 99</t>
  </si>
  <si>
    <t>12 01 01</t>
  </si>
  <si>
    <t>12 01 02</t>
  </si>
  <si>
    <t>12 01 03</t>
  </si>
  <si>
    <t>12 01 04</t>
  </si>
  <si>
    <t>12 01 05</t>
  </si>
  <si>
    <t>12 01 06*</t>
  </si>
  <si>
    <t>12 01 07*</t>
  </si>
  <si>
    <t>12 01 08*</t>
  </si>
  <si>
    <t>12 01 09*</t>
  </si>
  <si>
    <t>12 01 10*</t>
  </si>
  <si>
    <t>12 01 12*</t>
  </si>
  <si>
    <t>12 01 13</t>
  </si>
  <si>
    <t>12 01 14*</t>
  </si>
  <si>
    <t>12 01 15</t>
  </si>
  <si>
    <t>12 01 16*</t>
  </si>
  <si>
    <t>12 01 17</t>
  </si>
  <si>
    <t>12 01 18*</t>
  </si>
  <si>
    <t>12 01 19*</t>
  </si>
  <si>
    <t>12 01 20*</t>
  </si>
  <si>
    <t>12 01 21</t>
  </si>
  <si>
    <t>12 01 99</t>
  </si>
  <si>
    <t>12 03 01*</t>
  </si>
  <si>
    <t>12 03 02*</t>
  </si>
  <si>
    <t>13 01 01*</t>
  </si>
  <si>
    <t>13 01 04*</t>
  </si>
  <si>
    <t>13 01 05*</t>
  </si>
  <si>
    <t>13 01 09*</t>
  </si>
  <si>
    <t>13 01 10*</t>
  </si>
  <si>
    <t>13 01 11*</t>
  </si>
  <si>
    <t>13 01 12*</t>
  </si>
  <si>
    <t>13 01 13*</t>
  </si>
  <si>
    <t>13 02 04*</t>
  </si>
  <si>
    <t>13 02 05*</t>
  </si>
  <si>
    <t>13 02 06*</t>
  </si>
  <si>
    <t>13 02 07*</t>
  </si>
  <si>
    <t>13 02 08*</t>
  </si>
  <si>
    <t>13 03 01*</t>
  </si>
  <si>
    <t>13 03 06*</t>
  </si>
  <si>
    <t>13 03 07*</t>
  </si>
  <si>
    <t>13 03 08*</t>
  </si>
  <si>
    <t>13 03 09*</t>
  </si>
  <si>
    <t>13 03 10*</t>
  </si>
  <si>
    <t>13 04 01*</t>
  </si>
  <si>
    <t>13 04 02*</t>
  </si>
  <si>
    <t>13 04 03*</t>
  </si>
  <si>
    <t>13 05 01*</t>
  </si>
  <si>
    <t>13 05 02*</t>
  </si>
  <si>
    <t>13 05 03*</t>
  </si>
  <si>
    <t>13 05 06*</t>
  </si>
  <si>
    <t>13 05 07*</t>
  </si>
  <si>
    <t>13 05 08*</t>
  </si>
  <si>
    <t>13 07 01*</t>
  </si>
  <si>
    <t>13 07 02*</t>
  </si>
  <si>
    <t>13 07 03*</t>
  </si>
  <si>
    <t>13 08 01*</t>
  </si>
  <si>
    <t>13 08 02*</t>
  </si>
  <si>
    <t>13 08 99*</t>
  </si>
  <si>
    <t>14 06 01*</t>
  </si>
  <si>
    <t>14 06 02*</t>
  </si>
  <si>
    <t>14 06 03*</t>
  </si>
  <si>
    <t>14 06 04*</t>
  </si>
  <si>
    <t>14 06 05*</t>
  </si>
  <si>
    <t>15 01 02</t>
  </si>
  <si>
    <t>15 01 03</t>
  </si>
  <si>
    <t>15 01 04</t>
  </si>
  <si>
    <t>15 01 05</t>
  </si>
  <si>
    <t>15 01 06</t>
  </si>
  <si>
    <t>15 01 07</t>
  </si>
  <si>
    <t>15 01 09</t>
  </si>
  <si>
    <t>15 01 10*</t>
  </si>
  <si>
    <t>15 01 11*</t>
  </si>
  <si>
    <t>15 02 02*</t>
  </si>
  <si>
    <t>15 02 03</t>
  </si>
  <si>
    <t>16 01 03</t>
  </si>
  <si>
    <t>16 01 04*</t>
  </si>
  <si>
    <t>16 01 06</t>
  </si>
  <si>
    <t>16 01 07*</t>
  </si>
  <si>
    <t>16 01 08*</t>
  </si>
  <si>
    <t>16 01 09*</t>
  </si>
  <si>
    <t>16 01 10*</t>
  </si>
  <si>
    <t>16 01 11*</t>
  </si>
  <si>
    <t>16 01 12</t>
  </si>
  <si>
    <t>16 01 13*</t>
  </si>
  <si>
    <t>16 01 14*</t>
  </si>
  <si>
    <t>16 01 15</t>
  </si>
  <si>
    <t>16 01 16</t>
  </si>
  <si>
    <t>16 01 17</t>
  </si>
  <si>
    <t>16 01 18</t>
  </si>
  <si>
    <t>16 01 19</t>
  </si>
  <si>
    <t>16 01 20</t>
  </si>
  <si>
    <t>16 01 21*</t>
  </si>
  <si>
    <t>16 01 22</t>
  </si>
  <si>
    <t>16 01 99</t>
  </si>
  <si>
    <t>16 02 09*</t>
  </si>
  <si>
    <t>16 02 10*</t>
  </si>
  <si>
    <t>16 02 11*</t>
  </si>
  <si>
    <t>16 02 12*</t>
  </si>
  <si>
    <t>16 02 13*</t>
  </si>
  <si>
    <t>16 02 14</t>
  </si>
  <si>
    <t>16 02 15*</t>
  </si>
  <si>
    <t>16 02 16</t>
  </si>
  <si>
    <t>16 03 03*</t>
  </si>
  <si>
    <t>16 03 04</t>
  </si>
  <si>
    <t>16 03 05*</t>
  </si>
  <si>
    <t>16 03 06</t>
  </si>
  <si>
    <t>16 04 01*</t>
  </si>
  <si>
    <t>16 04 02*</t>
  </si>
  <si>
    <t>16 04 03*</t>
  </si>
  <si>
    <t>16 05 04*</t>
  </si>
  <si>
    <t>16 05 05</t>
  </si>
  <si>
    <t>16 05 06*</t>
  </si>
  <si>
    <t>16 05 07*</t>
  </si>
  <si>
    <t>16 05 08*</t>
  </si>
  <si>
    <t>16 05 09</t>
  </si>
  <si>
    <t>16 06 01*</t>
  </si>
  <si>
    <t>16 06 02*</t>
  </si>
  <si>
    <t>16 06 03*</t>
  </si>
  <si>
    <t>16 06 04</t>
  </si>
  <si>
    <t>16 06 05</t>
  </si>
  <si>
    <t>16 06 06*</t>
  </si>
  <si>
    <t>16 07 08*</t>
  </si>
  <si>
    <t>16 07 09*</t>
  </si>
  <si>
    <t>16 07 99</t>
  </si>
  <si>
    <t>16 08 01</t>
  </si>
  <si>
    <t>16 08 02*</t>
  </si>
  <si>
    <t>16 08 03</t>
  </si>
  <si>
    <t>16 08 04</t>
  </si>
  <si>
    <t>16 08 05*</t>
  </si>
  <si>
    <t>16 08 06*</t>
  </si>
  <si>
    <t>16 08 07*</t>
  </si>
  <si>
    <t>16 09 01*</t>
  </si>
  <si>
    <t>16 09 02*</t>
  </si>
  <si>
    <t>16 09 03*</t>
  </si>
  <si>
    <t>16 09 04*</t>
  </si>
  <si>
    <t>16 10 01*</t>
  </si>
  <si>
    <t>16 10 02</t>
  </si>
  <si>
    <t>16 10 03*</t>
  </si>
  <si>
    <t>16 10 04</t>
  </si>
  <si>
    <t>16 11 01*</t>
  </si>
  <si>
    <t>16 11 02</t>
  </si>
  <si>
    <t>16 11 03*</t>
  </si>
  <si>
    <t>16 11 04</t>
  </si>
  <si>
    <t>16 11 05*</t>
  </si>
  <si>
    <t>16 11 06</t>
  </si>
  <si>
    <t>17 01 01</t>
  </si>
  <si>
    <t>17 01 02</t>
  </si>
  <si>
    <t>17 01 03</t>
  </si>
  <si>
    <t>17 01 06*</t>
  </si>
  <si>
    <t>17 01 07</t>
  </si>
  <si>
    <t>17 02 01</t>
  </si>
  <si>
    <t>17 02 02</t>
  </si>
  <si>
    <t>17 02 03</t>
  </si>
  <si>
    <t>17 02 04*</t>
  </si>
  <si>
    <t>17 03 01*</t>
  </si>
  <si>
    <t>17 03 02</t>
  </si>
  <si>
    <t>17 03 03*</t>
  </si>
  <si>
    <t>17 04 01</t>
  </si>
  <si>
    <t>17 04 02</t>
  </si>
  <si>
    <t>17 04 03</t>
  </si>
  <si>
    <t>17 04 04</t>
  </si>
  <si>
    <t>17 04 05</t>
  </si>
  <si>
    <t>17 04 06</t>
  </si>
  <si>
    <t>17 04 07</t>
  </si>
  <si>
    <t>17 04 09*</t>
  </si>
  <si>
    <t>17 04 10*</t>
  </si>
  <si>
    <t>17 04 11</t>
  </si>
  <si>
    <t>17 05 03*</t>
  </si>
  <si>
    <t>17 05 04</t>
  </si>
  <si>
    <t>17 05 05*</t>
  </si>
  <si>
    <t>17 05 06</t>
  </si>
  <si>
    <t>17 05 07*</t>
  </si>
  <si>
    <t>17 05 08</t>
  </si>
  <si>
    <t>17 06 01*</t>
  </si>
  <si>
    <t>17 06 03*</t>
  </si>
  <si>
    <t>17 06 04</t>
  </si>
  <si>
    <t>17 06 05*</t>
  </si>
  <si>
    <t>17 08 01*</t>
  </si>
  <si>
    <t>17 08 02</t>
  </si>
  <si>
    <t>17 09 01*</t>
  </si>
  <si>
    <t>17 09 02*</t>
  </si>
  <si>
    <t>17 09 03*</t>
  </si>
  <si>
    <t>17 09 04</t>
  </si>
  <si>
    <t>18 01 01</t>
  </si>
  <si>
    <t>18 01 02</t>
  </si>
  <si>
    <t>18 01 03*</t>
  </si>
  <si>
    <t>18 01 04</t>
  </si>
  <si>
    <t>18 01 06*</t>
  </si>
  <si>
    <t>18 01 07</t>
  </si>
  <si>
    <t>18 01 08*</t>
  </si>
  <si>
    <t>18 01 09</t>
  </si>
  <si>
    <t>18 01 10*</t>
  </si>
  <si>
    <t>18 02 01</t>
  </si>
  <si>
    <t>18 02 02*</t>
  </si>
  <si>
    <t>18 02 03</t>
  </si>
  <si>
    <t>18 02 05*</t>
  </si>
  <si>
    <t>18 02 06</t>
  </si>
  <si>
    <t>18 02 07*</t>
  </si>
  <si>
    <t>18 02 08</t>
  </si>
  <si>
    <t>19 01 02</t>
  </si>
  <si>
    <t>19 01 05*</t>
  </si>
  <si>
    <t>19 01 06*</t>
  </si>
  <si>
    <t>19 01 07*</t>
  </si>
  <si>
    <t>19 01 10*</t>
  </si>
  <si>
    <t>19 01 11*</t>
  </si>
  <si>
    <t>19 01 12</t>
  </si>
  <si>
    <t>19 01 13*</t>
  </si>
  <si>
    <t>19 01 14</t>
  </si>
  <si>
    <t>19 01 15*</t>
  </si>
  <si>
    <t>19 01 16</t>
  </si>
  <si>
    <t>19 01 17*</t>
  </si>
  <si>
    <t>19 01 18</t>
  </si>
  <si>
    <t>19 01 19</t>
  </si>
  <si>
    <t>19 01 99</t>
  </si>
  <si>
    <t>19 02 03</t>
  </si>
  <si>
    <t>19 02 04*</t>
  </si>
  <si>
    <t>19 02 05*</t>
  </si>
  <si>
    <t>19 02 06</t>
  </si>
  <si>
    <t>19 02 07*</t>
  </si>
  <si>
    <t>19 02 08*</t>
  </si>
  <si>
    <t>19 02 09*</t>
  </si>
  <si>
    <t>19 02 10</t>
  </si>
  <si>
    <t>19 02 11*</t>
  </si>
  <si>
    <t>19 02 99</t>
  </si>
  <si>
    <t>19 03 04*</t>
  </si>
  <si>
    <t>19 03 05</t>
  </si>
  <si>
    <t>19 03 06*</t>
  </si>
  <si>
    <t>19 03 07</t>
  </si>
  <si>
    <t>19 04 01</t>
  </si>
  <si>
    <t>19 04 02*</t>
  </si>
  <si>
    <t>19 04 03*</t>
  </si>
  <si>
    <t>19 04 04</t>
  </si>
  <si>
    <t>19 05 01</t>
  </si>
  <si>
    <t>19 05 02</t>
  </si>
  <si>
    <t>19 05 03</t>
  </si>
  <si>
    <t>19 05 99</t>
  </si>
  <si>
    <t>19 06 03</t>
  </si>
  <si>
    <t>19 06 04</t>
  </si>
  <si>
    <t>19 06 05</t>
  </si>
  <si>
    <t>19 06 06</t>
  </si>
  <si>
    <t>19 06 99</t>
  </si>
  <si>
    <t>19 07 02*</t>
  </si>
  <si>
    <t>19 07 03</t>
  </si>
  <si>
    <t>19 08 01</t>
  </si>
  <si>
    <t>19 08 02</t>
  </si>
  <si>
    <t>19 08 05</t>
  </si>
  <si>
    <t>19 08 06*</t>
  </si>
  <si>
    <t>19 08 07*</t>
  </si>
  <si>
    <t>19 08 08*</t>
  </si>
  <si>
    <t>19 08 09</t>
  </si>
  <si>
    <t>19 08 10*</t>
  </si>
  <si>
    <t>19 08 11*</t>
  </si>
  <si>
    <t>19 08 12</t>
  </si>
  <si>
    <t>19 08 13*</t>
  </si>
  <si>
    <t>19 08 14</t>
  </si>
  <si>
    <t>19 08 99</t>
  </si>
  <si>
    <t>19 09 01</t>
  </si>
  <si>
    <t>19 09 02</t>
  </si>
  <si>
    <t>19 09 03</t>
  </si>
  <si>
    <t>19 09 04</t>
  </si>
  <si>
    <t>19 09 05</t>
  </si>
  <si>
    <t>19 09 06</t>
  </si>
  <si>
    <t>19 09 99</t>
  </si>
  <si>
    <t>19 10 01</t>
  </si>
  <si>
    <t>19 10 02</t>
  </si>
  <si>
    <t>19 10 03*</t>
  </si>
  <si>
    <t>19 10 04</t>
  </si>
  <si>
    <t>19 10 05*</t>
  </si>
  <si>
    <t>19 10 06</t>
  </si>
  <si>
    <t>19 11 01*</t>
  </si>
  <si>
    <t>19 11 02*</t>
  </si>
  <si>
    <t>19 11 03*</t>
  </si>
  <si>
    <t>19 11 04*</t>
  </si>
  <si>
    <t>19 11 05*</t>
  </si>
  <si>
    <t>19 11 06</t>
  </si>
  <si>
    <t>19 11 07*</t>
  </si>
  <si>
    <t>19 11 99</t>
  </si>
  <si>
    <t>19 12 01</t>
  </si>
  <si>
    <t>19 12 02</t>
  </si>
  <si>
    <t>19 12 03</t>
  </si>
  <si>
    <t>19 12 04</t>
  </si>
  <si>
    <t>19 12 05</t>
  </si>
  <si>
    <t>19 12 06*</t>
  </si>
  <si>
    <t>19 12 07</t>
  </si>
  <si>
    <t>19 12 08</t>
  </si>
  <si>
    <t>19 12 09</t>
  </si>
  <si>
    <t>19 12 10</t>
  </si>
  <si>
    <t>19 12 11*</t>
  </si>
  <si>
    <t>19 12 12</t>
  </si>
  <si>
    <t>19 13 01*</t>
  </si>
  <si>
    <t>19 13 02</t>
  </si>
  <si>
    <t>19 13 03*</t>
  </si>
  <si>
    <t>19 13 04</t>
  </si>
  <si>
    <t>19 13 05*</t>
  </si>
  <si>
    <t>19 13 06</t>
  </si>
  <si>
    <t>19 13 07*</t>
  </si>
  <si>
    <t>19 13 08</t>
  </si>
  <si>
    <t>20 01 01</t>
  </si>
  <si>
    <t>20 01 02</t>
  </si>
  <si>
    <t>20 01 08</t>
  </si>
  <si>
    <t>20 01 10</t>
  </si>
  <si>
    <t>20 01 11</t>
  </si>
  <si>
    <t>20 01 13*</t>
  </si>
  <si>
    <t>20 01 14*</t>
  </si>
  <si>
    <t>20 01 15*</t>
  </si>
  <si>
    <t>20 01 17*</t>
  </si>
  <si>
    <t>20 01 19*</t>
  </si>
  <si>
    <t>20 01 21*</t>
  </si>
  <si>
    <t>20 01 23*</t>
  </si>
  <si>
    <t>20 01 25</t>
  </si>
  <si>
    <t>20 01 26*</t>
  </si>
  <si>
    <t>20 01 27*</t>
  </si>
  <si>
    <t>20 01 28</t>
  </si>
  <si>
    <t>20 01 29*</t>
  </si>
  <si>
    <t>20 01 30</t>
  </si>
  <si>
    <t>20 01 31*</t>
  </si>
  <si>
    <t>20 01 32</t>
  </si>
  <si>
    <t>20 01 33*</t>
  </si>
  <si>
    <t>20 01 34</t>
  </si>
  <si>
    <t>20 01 35*</t>
  </si>
  <si>
    <t>20 01 36</t>
  </si>
  <si>
    <t>20 01 37*</t>
  </si>
  <si>
    <t>20 01 38</t>
  </si>
  <si>
    <t>20 01 40</t>
  </si>
  <si>
    <t>20 01 41</t>
  </si>
  <si>
    <t>20 01 99</t>
  </si>
  <si>
    <t>20 02 01</t>
  </si>
  <si>
    <t>20 02 02</t>
  </si>
  <si>
    <t>20 02 03</t>
  </si>
  <si>
    <t>20 03 01</t>
  </si>
  <si>
    <t>20 03 02</t>
  </si>
  <si>
    <t>20 03 03</t>
  </si>
  <si>
    <t>20 03 04</t>
  </si>
  <si>
    <t>20 03 06</t>
  </si>
  <si>
    <t>20 03 07</t>
  </si>
  <si>
    <t>20 03 99</t>
  </si>
  <si>
    <t>Aluminium-Other</t>
  </si>
  <si>
    <t>Aluminium - AAIG Aluminium cans &amp; associated packaging (97.5%)</t>
  </si>
  <si>
    <t>Aluminium - AAIG Aluminium extracted and processed from IBA (87.5%)</t>
  </si>
  <si>
    <t>Fibre-Based Composite-Fibre-Based Cups</t>
  </si>
  <si>
    <t>Fibre-Based Composite-Fibre-Based Drinks carton</t>
  </si>
  <si>
    <t>Fibre-Based Composite-Fibre-Based Food Container</t>
  </si>
  <si>
    <t>Fibre-Based Composite-Mixed</t>
  </si>
  <si>
    <t>Glass - Pre-sorted</t>
  </si>
  <si>
    <t>Glass -Bottle bank glass / Commercial glass waste</t>
  </si>
  <si>
    <t>Glass -MRF derived glass</t>
  </si>
  <si>
    <t>Paper - Other</t>
  </si>
  <si>
    <t>Paper-AAIG EN643 grade 1.04.01 (70%)</t>
  </si>
  <si>
    <t>Paper-AAIG EN643 grade 1.04.02 (80%)</t>
  </si>
  <si>
    <t>Paper-AAIG EN643 grades 1.04.00, 1.05.00 &amp; 1.05.01 (97.5%)</t>
  </si>
  <si>
    <t xml:space="preserve">Paper-Sorted Mixed Paper/Board </t>
  </si>
  <si>
    <t xml:space="preserve">Paper-Unsorted Mixed Paper/Board (unusable materials removed) </t>
  </si>
  <si>
    <t xml:space="preserve">Plastic-HDPE Other </t>
  </si>
  <si>
    <t>Plastic-LDPE Film Clear</t>
  </si>
  <si>
    <t>Plastic-Mixed Plastic</t>
  </si>
  <si>
    <t>Plastic - Mixed bottles</t>
  </si>
  <si>
    <t>Plastic - PET bottles</t>
  </si>
  <si>
    <t>Steel-1+2 Mixed</t>
  </si>
  <si>
    <t>Steel-2</t>
  </si>
  <si>
    <t>Steel-4C</t>
  </si>
  <si>
    <t>Steel-4E</t>
  </si>
  <si>
    <t>Steel-8B</t>
  </si>
  <si>
    <t>Steel-Fragmentised</t>
  </si>
  <si>
    <t>Steel-Steel cans &amp; associated packaging Grade 6E (97.5%)</t>
  </si>
  <si>
    <t>Steel-Other</t>
  </si>
  <si>
    <t>Wood-Grade A</t>
  </si>
  <si>
    <t>Wood-Grade B</t>
  </si>
  <si>
    <t>Wood-Mixed Wood</t>
  </si>
  <si>
    <t>Choose material</t>
  </si>
  <si>
    <t>Aluminium</t>
  </si>
  <si>
    <t>Fibre_based_composite</t>
  </si>
  <si>
    <t>Paper_and_board</t>
  </si>
  <si>
    <t>Plastic</t>
  </si>
  <si>
    <t>Steel</t>
  </si>
  <si>
    <t>Wood</t>
  </si>
  <si>
    <t>Column Header</t>
  </si>
  <si>
    <t>Proxy</t>
  </si>
  <si>
    <t>OUR-REFERENCE</t>
  </si>
  <si>
    <t>DATE-RECEIVED</t>
  </si>
  <si>
    <t>EWC-CODE</t>
  </si>
  <si>
    <t>DESCRIPTION-WASTE</t>
  </si>
  <si>
    <t>GROSS-WEIGHT</t>
  </si>
  <si>
    <t>TARE-WEIGHT</t>
  </si>
  <si>
    <t>PALLET-WEIGHT</t>
  </si>
  <si>
    <t>NET-WEIGHT</t>
  </si>
  <si>
    <t>BAILING-WIRE</t>
  </si>
  <si>
    <t>HOW-CALCULATE-RECYCLABLE</t>
  </si>
  <si>
    <t>WEIGHT-OF-NON-TARGET</t>
  </si>
  <si>
    <t>RECYCLABLE-PROPORTION</t>
  </si>
  <si>
    <t>TONNAGE-RECEIVED-FOR EXPORT</t>
  </si>
  <si>
    <t>SUPPLIER-NAME</t>
  </si>
  <si>
    <t>SUPPLIER-ADDRESS</t>
  </si>
  <si>
    <t>SUPPLIER-POSTCODE</t>
  </si>
  <si>
    <t>SUPPLIER-EMAIL</t>
  </si>
  <si>
    <t>SUPPLIER-PHONE</t>
  </si>
  <si>
    <t>ACTIVITIES-SUPPLIER</t>
  </si>
  <si>
    <t>DATE-LOAD-LEFT-SITE</t>
  </si>
  <si>
    <t>WEIGHBRIDGE-TICKET</t>
  </si>
  <si>
    <t>HAULIER-NAME</t>
  </si>
  <si>
    <t>HAULIER-VEHICLE-REG-NUMBER</t>
  </si>
  <si>
    <t>DATE-RECYCLED</t>
  </si>
  <si>
    <t>PRODUCT-DESCRIPTION</t>
  </si>
  <si>
    <t>END-WASTE</t>
  </si>
  <si>
    <t>PRODUCT-WEIGHT</t>
  </si>
  <si>
    <t>CUSTOMER-NAME</t>
  </si>
  <si>
    <t>CUSTOMER-INV</t>
  </si>
  <si>
    <t>YOUR-REFERENCE</t>
  </si>
  <si>
    <t>TONNAGE-OF-UK-PACKAGING-WASTE-SENT-ON</t>
  </si>
  <si>
    <t>FINAL-DESTINATION-FACILITY-TYPE</t>
  </si>
  <si>
    <t>FINAL-DESTINATION-NAME</t>
  </si>
  <si>
    <t>FINAL-DESTINATION-ADDRESS</t>
  </si>
  <si>
    <t>FINAL-DESTINATION-POSTCODE</t>
  </si>
  <si>
    <t>FINAL-DESTINATION-EMAIL</t>
  </si>
  <si>
    <t>FINAL-DESTINATION-PHONE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</si>
</sst>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00000&quot; &quot;00000"/>
    <numFmt numFmtId="60" formatCode="0.00;&quot;-&quot;0.00;&quot; &quot;"/>
  </numFmts>
  <fonts count="30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2"/>
      <color indexed="11"/>
      <name val="Aptos Narrow"/>
    </font>
    <font>
      <sz val="16"/>
      <color indexed="12"/>
      <name val="Aptos Narrow"/>
    </font>
    <font>
      <b val="1"/>
      <sz val="48"/>
      <color indexed="12"/>
      <name val="Tahoma"/>
    </font>
    <font>
      <b val="1"/>
      <sz val="16"/>
      <color indexed="12"/>
      <name val="Tahoma"/>
    </font>
    <font>
      <u val="single"/>
      <sz val="16"/>
      <color indexed="13"/>
      <name val="Tahoma"/>
    </font>
    <font>
      <b val="1"/>
      <sz val="16"/>
      <color indexed="14"/>
      <name val="Univers Condensed"/>
    </font>
    <font>
      <b val="1"/>
      <u val="single"/>
      <sz val="16"/>
      <color indexed="14"/>
      <name val="Univers Condensed"/>
    </font>
    <font>
      <sz val="16"/>
      <color indexed="8"/>
      <name val="Tahoma"/>
    </font>
    <font>
      <sz val="12"/>
      <color indexed="8"/>
      <name val="Tahoma"/>
    </font>
    <font>
      <sz val="12"/>
      <color indexed="18"/>
      <name val="Aptos Narrow"/>
    </font>
    <font>
      <u val="single"/>
      <sz val="12"/>
      <color indexed="18"/>
      <name val="Aptos Narrow"/>
    </font>
    <font>
      <b val="1"/>
      <sz val="20"/>
      <color indexed="15"/>
      <name val="Tahoma"/>
    </font>
    <font>
      <b val="1"/>
      <sz val="20"/>
      <color indexed="12"/>
      <name val="Tahoma"/>
    </font>
    <font>
      <b val="1"/>
      <sz val="12"/>
      <color indexed="12"/>
      <name val="Tahoma"/>
    </font>
    <font>
      <sz val="12"/>
      <color indexed="12"/>
      <name val="Tahoma"/>
    </font>
    <font>
      <sz val="12"/>
      <color indexed="19"/>
      <name val="Aptos Narrow"/>
    </font>
    <font>
      <u val="single"/>
      <sz val="12"/>
      <color indexed="19"/>
      <name val="Aptos Narrow"/>
    </font>
    <font>
      <sz val="12"/>
      <color indexed="9"/>
      <name val="Aptos Narrow"/>
    </font>
    <font>
      <sz val="12"/>
      <color indexed="22"/>
      <name val="Aptos Narrow"/>
    </font>
    <font>
      <b val="1"/>
      <sz val="12"/>
      <color indexed="12"/>
      <name val="Aptos Narrow"/>
    </font>
    <font>
      <sz val="12"/>
      <color indexed="9"/>
      <name val="Tahoma"/>
    </font>
    <font>
      <sz val="12"/>
      <color indexed="18"/>
      <name val="Tahoma"/>
    </font>
    <font>
      <b val="1"/>
      <sz val="12"/>
      <color indexed="20"/>
      <name val="Aptos Narrow"/>
    </font>
    <font>
      <u val="single"/>
      <sz val="12"/>
      <color indexed="25"/>
      <name val="Tahoma"/>
    </font>
    <font>
      <sz val="11"/>
      <color indexed="8"/>
      <name val="Aptos Narrow"/>
    </font>
    <font>
      <b val="1"/>
      <sz val="11"/>
      <color indexed="8"/>
      <name val="Aptos Narrow"/>
    </font>
    <font>
      <sz val="12"/>
      <color indexed="8"/>
      <name val="Aptos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</fills>
  <borders count="5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5"/>
      </right>
      <top/>
      <bottom/>
      <diagonal/>
    </border>
    <border>
      <left style="thin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/>
      <bottom/>
      <diagonal/>
    </border>
    <border>
      <left style="thin">
        <color indexed="15"/>
      </left>
      <right/>
      <top/>
      <bottom/>
      <diagonal/>
    </border>
    <border>
      <left/>
      <right/>
      <top style="thin">
        <color indexed="15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2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20"/>
      </right>
      <top style="thin">
        <color indexed="9"/>
      </top>
      <bottom style="thin">
        <color indexed="9"/>
      </bottom>
      <diagonal/>
    </border>
    <border>
      <left style="thin">
        <color indexed="20"/>
      </left>
      <right/>
      <top/>
      <bottom/>
      <diagonal/>
    </border>
    <border>
      <left/>
      <right/>
      <top style="thin">
        <color indexed="12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2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10"/>
      </right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9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3"/>
      </bottom>
      <diagonal/>
    </border>
    <border>
      <left style="thin">
        <color indexed="21"/>
      </left>
      <right/>
      <top/>
      <bottom/>
      <diagonal/>
    </border>
    <border>
      <left style="thin">
        <color indexed="9"/>
      </left>
      <right style="thin">
        <color indexed="21"/>
      </right>
      <top style="thin">
        <color indexed="9"/>
      </top>
      <bottom style="thin">
        <color indexed="9"/>
      </bottom>
      <diagonal/>
    </border>
    <border>
      <left style="thin">
        <color indexed="21"/>
      </left>
      <right style="thin">
        <color indexed="21"/>
      </right>
      <top/>
      <bottom/>
      <diagonal/>
    </border>
    <border>
      <left style="thin">
        <color indexed="21"/>
      </left>
      <right style="thin">
        <color indexed="10"/>
      </right>
      <top/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9"/>
      </bottom>
      <diagonal/>
    </border>
    <border>
      <left style="thin">
        <color indexed="23"/>
      </left>
      <right style="thin">
        <color indexed="9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/>
      <top/>
      <bottom style="thin">
        <color indexed="10"/>
      </bottom>
      <diagonal/>
    </border>
    <border>
      <left style="thin">
        <color indexed="9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/>
      <bottom style="thin">
        <color indexed="10"/>
      </bottom>
      <diagonal/>
    </border>
    <border>
      <left/>
      <right style="thin">
        <color indexed="9"/>
      </right>
      <top/>
      <bottom style="thin">
        <color indexed="10"/>
      </bottom>
      <diagonal/>
    </border>
    <border>
      <left style="thin">
        <color indexed="21"/>
      </left>
      <right style="thin">
        <color indexed="9"/>
      </right>
      <top style="thin">
        <color indexed="21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/>
      <bottom style="thin">
        <color indexed="10"/>
      </bottom>
      <diagonal/>
    </border>
    <border>
      <left style="thin">
        <color indexed="9"/>
      </left>
      <right style="thin">
        <color indexed="9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vertical="center"/>
    </xf>
    <xf numFmtId="0" fontId="3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center"/>
    </xf>
    <xf numFmtId="0" fontId="4" fillId="2" borderId="5" applyNumberFormat="0" applyFont="1" applyFill="1" applyBorder="1" applyAlignment="1" applyProtection="0">
      <alignment vertical="center"/>
    </xf>
    <xf numFmtId="49" fontId="5" fillId="2" borderId="5" applyNumberFormat="1" applyFont="1" applyFill="1" applyBorder="1" applyAlignment="1" applyProtection="0">
      <alignment horizontal="left" vertical="center" wrapText="1"/>
    </xf>
    <xf numFmtId="0" fontId="5" fillId="2" borderId="5" applyNumberFormat="0" applyFont="1" applyFill="1" applyBorder="1" applyAlignment="1" applyProtection="0">
      <alignment horizontal="left" vertical="center"/>
    </xf>
    <xf numFmtId="49" fontId="6" fillId="2" borderId="5" applyNumberFormat="1" applyFont="1" applyFill="1" applyBorder="1" applyAlignment="1" applyProtection="0">
      <alignment vertical="top" wrapText="1"/>
    </xf>
    <xf numFmtId="49" fontId="8" fillId="2" borderId="5" applyNumberFormat="1" applyFont="1" applyFill="1" applyBorder="1" applyAlignment="1" applyProtection="0">
      <alignment horizontal="left" vertical="top" wrapText="1"/>
    </xf>
    <xf numFmtId="0" fontId="8" fillId="2" borderId="5" applyNumberFormat="0" applyFont="1" applyFill="1" applyBorder="1" applyAlignment="1" applyProtection="0">
      <alignment horizontal="left" vertical="top" wrapText="1"/>
    </xf>
    <xf numFmtId="0" fontId="6" fillId="2" borderId="5" applyNumberFormat="0" applyFont="1" applyFill="1" applyBorder="1" applyAlignment="1" applyProtection="0">
      <alignment vertical="top"/>
    </xf>
    <xf numFmtId="49" fontId="6" fillId="2" borderId="5" applyNumberFormat="1" applyFont="1" applyFill="1" applyBorder="1" applyAlignment="1" applyProtection="0">
      <alignment vertical="center"/>
    </xf>
    <xf numFmtId="49" fontId="3" fillId="2" borderId="7" applyNumberFormat="1" applyFont="1" applyFill="1" applyBorder="1" applyAlignment="1" applyProtection="0">
      <alignment vertical="bottom"/>
    </xf>
    <xf numFmtId="49" fontId="10" fillId="3" borderId="8" applyNumberFormat="1" applyFont="1" applyFill="1" applyBorder="1" applyAlignment="1" applyProtection="0">
      <alignment vertical="bottom"/>
    </xf>
    <xf numFmtId="49" fontId="3" fillId="2" borderId="9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1" fillId="2" borderId="2" applyNumberFormat="0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0" fontId="0" fillId="4" borderId="15" applyNumberFormat="0" applyFont="1" applyFill="1" applyBorder="1" applyAlignment="1" applyProtection="0">
      <alignment vertical="bottom"/>
    </xf>
    <xf numFmtId="0" fontId="0" fillId="5" borderId="2" applyNumberFormat="0" applyFont="1" applyFill="1" applyBorder="1" applyAlignment="1" applyProtection="0">
      <alignment vertical="bottom"/>
    </xf>
    <xf numFmtId="0" fontId="0" fillId="5" borderId="3" applyNumberFormat="0" applyFont="1" applyFill="1" applyBorder="1" applyAlignment="1" applyProtection="0">
      <alignment vertical="bottom"/>
    </xf>
    <xf numFmtId="0" fontId="11" fillId="2" borderId="5" applyNumberFormat="0" applyFont="1" applyFill="1" applyBorder="1" applyAlignment="1" applyProtection="0">
      <alignment vertical="bottom"/>
    </xf>
    <xf numFmtId="0" fontId="0" fillId="4" borderId="5" applyNumberFormat="0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49" fontId="12" fillId="5" borderId="5" applyNumberFormat="1" applyFont="1" applyFill="1" applyBorder="1" applyAlignment="1" applyProtection="0">
      <alignment vertical="bottom"/>
    </xf>
    <xf numFmtId="0" fontId="0" fillId="5" borderId="13" applyNumberFormat="0" applyFont="1" applyFill="1" applyBorder="1" applyAlignment="1" applyProtection="0">
      <alignment vertical="bottom"/>
    </xf>
    <xf numFmtId="0" fontId="0" fillId="5" borderId="14" applyNumberFormat="0" applyFont="1" applyFill="1" applyBorder="1" applyAlignment="1" applyProtection="0">
      <alignment vertical="bottom"/>
    </xf>
    <xf numFmtId="49" fontId="14" fillId="3" borderId="16" applyNumberFormat="1" applyFont="1" applyFill="1" applyBorder="1" applyAlignment="1" applyProtection="0">
      <alignment vertical="center"/>
    </xf>
    <xf numFmtId="0" fontId="14" fillId="3" borderId="16" applyNumberFormat="0" applyFont="1" applyFill="1" applyBorder="1" applyAlignment="1" applyProtection="0">
      <alignment vertical="center"/>
    </xf>
    <xf numFmtId="0" fontId="0" fillId="2" borderId="16" applyNumberFormat="0" applyFont="1" applyFill="1" applyBorder="1" applyAlignment="1" applyProtection="0">
      <alignment vertical="bottom"/>
    </xf>
    <xf numFmtId="49" fontId="15" fillId="2" borderId="17" applyNumberFormat="1" applyFont="1" applyFill="1" applyBorder="1" applyAlignment="1" applyProtection="0">
      <alignment vertical="center"/>
    </xf>
    <xf numFmtId="0" fontId="15" fillId="2" borderId="17" applyNumberFormat="0" applyFont="1" applyFill="1" applyBorder="1" applyAlignment="1" applyProtection="0">
      <alignment vertical="center"/>
    </xf>
    <xf numFmtId="0" fontId="0" fillId="4" borderId="17" applyNumberFormat="0" applyFont="1" applyFill="1" applyBorder="1" applyAlignment="1" applyProtection="0">
      <alignment vertical="bottom"/>
    </xf>
    <xf numFmtId="49" fontId="12" fillId="4" borderId="5" applyNumberFormat="1" applyFont="1" applyFill="1" applyBorder="1" applyAlignment="1" applyProtection="0">
      <alignment vertical="bottom"/>
    </xf>
    <xf numFmtId="0" fontId="0" fillId="5" borderId="17" applyNumberFormat="0" applyFont="1" applyFill="1" applyBorder="1" applyAlignment="1" applyProtection="0">
      <alignment vertical="bottom"/>
    </xf>
    <xf numFmtId="0" fontId="0" fillId="5" borderId="15" applyNumberFormat="0" applyFont="1" applyFill="1" applyBorder="1" applyAlignment="1" applyProtection="0">
      <alignment vertical="bottom"/>
    </xf>
    <xf numFmtId="0" fontId="0" fillId="5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49" fontId="16" fillId="2" borderId="20" applyNumberFormat="1" applyFont="1" applyFill="1" applyBorder="1" applyAlignment="1" applyProtection="0">
      <alignment horizontal="left" vertical="center"/>
    </xf>
    <xf numFmtId="0" fontId="16" fillId="2" borderId="21" applyNumberFormat="0" applyFont="1" applyFill="1" applyBorder="1" applyAlignment="1" applyProtection="0">
      <alignment horizontal="left" vertical="center"/>
    </xf>
    <xf numFmtId="0" fontId="16" fillId="2" borderId="22" applyNumberFormat="0" applyFont="1" applyFill="1" applyBorder="1" applyAlignment="1" applyProtection="0">
      <alignment horizontal="left" vertical="center"/>
    </xf>
    <xf numFmtId="0" fontId="17" fillId="2" borderId="23" applyNumberFormat="0" applyFont="1" applyFill="1" applyBorder="1" applyAlignment="1" applyProtection="0">
      <alignment horizontal="left" vertical="center"/>
    </xf>
    <xf numFmtId="49" fontId="18" fillId="2" borderId="5" applyNumberFormat="1" applyFont="1" applyFill="1" applyBorder="1" applyAlignment="1" applyProtection="0">
      <alignment horizontal="left" vertical="center"/>
    </xf>
    <xf numFmtId="0" fontId="17" fillId="2" borderId="5" applyNumberFormat="0" applyFont="1" applyFill="1" applyBorder="1" applyAlignment="1" applyProtection="0">
      <alignment horizontal="left" vertical="center"/>
    </xf>
    <xf numFmtId="0" fontId="0" fillId="4" borderId="24" applyNumberFormat="0" applyFont="1" applyFill="1" applyBorder="1" applyAlignment="1" applyProtection="0">
      <alignment vertical="bottom"/>
    </xf>
    <xf numFmtId="49" fontId="10" fillId="4" borderId="25" applyNumberFormat="1" applyFont="1" applyFill="1" applyBorder="1" applyAlignment="1" applyProtection="0">
      <alignment horizontal="left" vertical="center"/>
    </xf>
    <xf numFmtId="0" fontId="10" fillId="4" borderId="26" applyNumberFormat="0" applyFont="1" applyFill="1" applyBorder="1" applyAlignment="1" applyProtection="0">
      <alignment horizontal="left" vertical="center"/>
    </xf>
    <xf numFmtId="0" fontId="10" fillId="4" borderId="27" applyNumberFormat="0" applyFont="1" applyFill="1" applyBorder="1" applyAlignment="1" applyProtection="0">
      <alignment horizontal="left" vertical="center"/>
    </xf>
    <xf numFmtId="0" fontId="0" fillId="4" borderId="28" applyNumberFormat="0" applyFont="1" applyFill="1" applyBorder="1" applyAlignment="1" applyProtection="0">
      <alignment vertical="bottom"/>
    </xf>
    <xf numFmtId="0" fontId="0" fillId="5" borderId="24" applyNumberFormat="0" applyFont="1" applyFill="1" applyBorder="1" applyAlignment="1" applyProtection="0">
      <alignment vertical="bottom"/>
    </xf>
    <xf numFmtId="49" fontId="10" fillId="5" borderId="25" applyNumberFormat="1" applyFont="1" applyFill="1" applyBorder="1" applyAlignment="1" applyProtection="0">
      <alignment horizontal="left" vertical="center" wrapText="1"/>
    </xf>
    <xf numFmtId="0" fontId="10" fillId="5" borderId="26" applyNumberFormat="0" applyFont="1" applyFill="1" applyBorder="1" applyAlignment="1" applyProtection="0">
      <alignment horizontal="left" vertical="center" wrapText="1"/>
    </xf>
    <xf numFmtId="0" fontId="10" fillId="5" borderId="29" applyNumberFormat="0" applyFont="1" applyFill="1" applyBorder="1" applyAlignment="1" applyProtection="0">
      <alignment horizontal="left" vertical="center" wrapText="1"/>
    </xf>
    <xf numFmtId="0" fontId="0" fillId="5" borderId="30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4" borderId="26" applyNumberFormat="0" applyFont="1" applyFill="1" applyBorder="1" applyAlignment="1" applyProtection="0">
      <alignment vertical="bottom"/>
    </xf>
    <xf numFmtId="0" fontId="0" fillId="5" borderId="26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49" fontId="16" fillId="6" borderId="33" applyNumberFormat="1" applyFont="1" applyFill="1" applyBorder="1" applyAlignment="1" applyProtection="0">
      <alignment horizontal="left" vertical="center"/>
    </xf>
    <xf numFmtId="49" fontId="16" fillId="6" borderId="33" applyNumberFormat="1" applyFont="1" applyFill="1" applyBorder="1" applyAlignment="1" applyProtection="0">
      <alignment horizontal="left" vertical="center" wrapText="1"/>
    </xf>
    <xf numFmtId="0" fontId="20" fillId="2" borderId="28" applyNumberFormat="1" applyFont="1" applyFill="1" applyBorder="1" applyAlignment="1" applyProtection="0">
      <alignment vertical="bottom"/>
    </xf>
    <xf numFmtId="0" fontId="21" fillId="4" borderId="24" applyNumberFormat="1" applyFont="1" applyFill="1" applyBorder="1" applyAlignment="1" applyProtection="0">
      <alignment vertical="bottom"/>
    </xf>
    <xf numFmtId="49" fontId="16" fillId="6" borderId="34" applyNumberFormat="1" applyFont="1" applyFill="1" applyBorder="1" applyAlignment="1" applyProtection="0">
      <alignment horizontal="left" vertical="center" wrapText="1"/>
    </xf>
    <xf numFmtId="49" fontId="16" fillId="6" borderId="34" applyNumberFormat="1" applyFont="1" applyFill="1" applyBorder="1" applyAlignment="1" applyProtection="0">
      <alignment horizontal="left" vertical="center"/>
    </xf>
    <xf numFmtId="0" fontId="21" fillId="4" borderId="28" applyNumberFormat="1" applyFont="1" applyFill="1" applyBorder="1" applyAlignment="1" applyProtection="0">
      <alignment vertical="bottom"/>
    </xf>
    <xf numFmtId="0" fontId="21" fillId="5" borderId="24" applyNumberFormat="1" applyFont="1" applyFill="1" applyBorder="1" applyAlignment="1" applyProtection="0">
      <alignment vertical="bottom"/>
    </xf>
    <xf numFmtId="0" fontId="21" fillId="5" borderId="35" applyNumberFormat="1" applyFont="1" applyFill="1" applyBorder="1" applyAlignment="1" applyProtection="0">
      <alignment vertical="bottom"/>
    </xf>
    <xf numFmtId="0" fontId="21" fillId="5" borderId="35" applyNumberFormat="0" applyFont="1" applyFill="1" applyBorder="1" applyAlignment="1" applyProtection="0">
      <alignment vertical="bottom"/>
    </xf>
    <xf numFmtId="0" fontId="21" fillId="5" borderId="36" applyNumberFormat="0" applyFont="1" applyFill="1" applyBorder="1" applyAlignment="1" applyProtection="0">
      <alignment vertical="bottom"/>
    </xf>
    <xf numFmtId="49" fontId="3" fillId="2" borderId="32" applyNumberFormat="1" applyFont="1" applyFill="1" applyBorder="1" applyAlignment="1" applyProtection="0">
      <alignment vertical="bottom"/>
    </xf>
    <xf numFmtId="49" fontId="11" fillId="3" borderId="33" applyNumberFormat="1" applyFont="1" applyFill="1" applyBorder="1" applyAlignment="1" applyProtection="0">
      <alignment vertical="bottom"/>
    </xf>
    <xf numFmtId="49" fontId="3" fillId="2" borderId="28" applyNumberFormat="1" applyFont="1" applyFill="1" applyBorder="1" applyAlignment="1" applyProtection="0">
      <alignment vertical="bottom"/>
    </xf>
    <xf numFmtId="49" fontId="3" fillId="4" borderId="37" applyNumberFormat="1" applyFont="1" applyFill="1" applyBorder="1" applyAlignment="1" applyProtection="0">
      <alignment vertical="bottom"/>
    </xf>
    <xf numFmtId="49" fontId="0" fillId="3" borderId="38" applyNumberFormat="1" applyFont="1" applyFill="1" applyBorder="1" applyAlignment="1" applyProtection="0">
      <alignment vertical="bottom"/>
    </xf>
    <xf numFmtId="49" fontId="0" fillId="3" borderId="39" applyNumberFormat="1" applyFont="1" applyFill="1" applyBorder="1" applyAlignment="1" applyProtection="0">
      <alignment vertical="bottom"/>
    </xf>
    <xf numFmtId="49" fontId="3" fillId="4" borderId="40" applyNumberFormat="1" applyFont="1" applyFill="1" applyBorder="1" applyAlignment="1" applyProtection="0">
      <alignment vertical="bottom"/>
    </xf>
    <xf numFmtId="49" fontId="3" fillId="5" borderId="24" applyNumberFormat="1" applyFont="1" applyFill="1" applyBorder="1" applyAlignment="1" applyProtection="0">
      <alignment vertical="bottom"/>
    </xf>
    <xf numFmtId="49" fontId="11" fillId="3" borderId="41" applyNumberFormat="1" applyFont="1" applyFill="1" applyBorder="1" applyAlignment="1" applyProtection="0">
      <alignment vertical="bottom"/>
    </xf>
    <xf numFmtId="0" fontId="0" fillId="5" borderId="42" applyNumberFormat="0" applyFont="1" applyFill="1" applyBorder="1" applyAlignment="1" applyProtection="0">
      <alignment vertical="bottom"/>
    </xf>
    <xf numFmtId="0" fontId="0" fillId="5" borderId="43" applyNumberFormat="0" applyFont="1" applyFill="1" applyBorder="1" applyAlignment="1" applyProtection="0">
      <alignment vertical="bottom"/>
    </xf>
    <xf numFmtId="49" fontId="22" fillId="2" borderId="32" applyNumberFormat="1" applyFont="1" applyFill="1" applyBorder="1" applyAlignment="1" applyProtection="0">
      <alignment vertical="bottom"/>
    </xf>
    <xf numFmtId="1" fontId="23" fillId="7" borderId="33" applyNumberFormat="1" applyFont="1" applyFill="1" applyBorder="1" applyAlignment="1" applyProtection="0">
      <alignment vertical="bottom"/>
    </xf>
    <xf numFmtId="14" fontId="23" fillId="7" borderId="33" applyNumberFormat="1" applyFont="1" applyFill="1" applyBorder="1" applyAlignment="1" applyProtection="0">
      <alignment vertical="bottom"/>
    </xf>
    <xf numFmtId="49" fontId="24" fillId="7" borderId="33" applyNumberFormat="1" applyFont="1" applyFill="1" applyBorder="1" applyAlignment="1" applyProtection="0">
      <alignment vertical="bottom"/>
    </xf>
    <xf numFmtId="2" fontId="23" fillId="7" borderId="33" applyNumberFormat="1" applyFont="1" applyFill="1" applyBorder="1" applyAlignment="1" applyProtection="0">
      <alignment vertical="bottom"/>
    </xf>
    <xf numFmtId="10" fontId="23" fillId="7" borderId="33" applyNumberFormat="1" applyFont="1" applyFill="1" applyBorder="1" applyAlignment="1" applyProtection="0">
      <alignment vertical="bottom"/>
    </xf>
    <xf numFmtId="2" fontId="24" fillId="7" borderId="33" applyNumberFormat="1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49" fontId="25" fillId="4" borderId="24" applyNumberFormat="1" applyFont="1" applyFill="1" applyBorder="1" applyAlignment="1" applyProtection="0">
      <alignment vertical="bottom"/>
    </xf>
    <xf numFmtId="49" fontId="24" fillId="7" borderId="44" applyNumberFormat="1" applyFont="1" applyFill="1" applyBorder="1" applyAlignment="1" applyProtection="0">
      <alignment vertical="bottom"/>
    </xf>
    <xf numFmtId="59" fontId="24" fillId="7" borderId="45" applyNumberFormat="1" applyFont="1" applyFill="1" applyBorder="1" applyAlignment="1" applyProtection="0">
      <alignment vertical="bottom"/>
    </xf>
    <xf numFmtId="0" fontId="0" fillId="4" borderId="46" applyNumberFormat="0" applyFont="1" applyFill="1" applyBorder="1" applyAlignment="1" applyProtection="0">
      <alignment vertical="bottom"/>
    </xf>
    <xf numFmtId="49" fontId="25" fillId="5" borderId="24" applyNumberFormat="1" applyFont="1" applyFill="1" applyBorder="1" applyAlignment="1" applyProtection="0">
      <alignment vertical="bottom"/>
    </xf>
    <xf numFmtId="0" fontId="24" fillId="7" borderId="33" applyNumberFormat="0" applyFont="1" applyFill="1" applyBorder="1" applyAlignment="1" applyProtection="0">
      <alignment vertical="bottom"/>
    </xf>
    <xf numFmtId="0" fontId="0" fillId="5" borderId="46" applyNumberFormat="0" applyFont="1" applyFill="1" applyBorder="1" applyAlignment="1" applyProtection="0">
      <alignment vertical="bottom"/>
    </xf>
    <xf numFmtId="0" fontId="0" fillId="3" borderId="33" applyNumberFormat="1" applyFont="1" applyFill="1" applyBorder="1" applyAlignment="1" applyProtection="0">
      <alignment vertical="bottom"/>
    </xf>
    <xf numFmtId="14" fontId="11" fillId="3" borderId="33" applyNumberFormat="1" applyFont="1" applyFill="1" applyBorder="1" applyAlignment="1" applyProtection="0">
      <alignment vertical="bottom"/>
    </xf>
    <xf numFmtId="2" fontId="11" fillId="3" borderId="33" applyNumberFormat="1" applyFont="1" applyFill="1" applyBorder="1" applyAlignment="1" applyProtection="0">
      <alignment vertical="bottom"/>
    </xf>
    <xf numFmtId="60" fontId="11" fillId="3" borderId="33" applyNumberFormat="1" applyFont="1" applyFill="1" applyBorder="1" applyAlignment="1" applyProtection="0">
      <alignment vertical="bottom"/>
    </xf>
    <xf numFmtId="10" fontId="11" fillId="3" borderId="33" applyNumberFormat="1" applyFont="1" applyFill="1" applyBorder="1" applyAlignment="1" applyProtection="0">
      <alignment vertical="bottom"/>
    </xf>
    <xf numFmtId="49" fontId="11" fillId="3" borderId="44" applyNumberFormat="1" applyFont="1" applyFill="1" applyBorder="1" applyAlignment="1" applyProtection="0">
      <alignment vertical="bottom"/>
    </xf>
    <xf numFmtId="49" fontId="11" fillId="3" borderId="45" applyNumberFormat="1" applyFont="1" applyFill="1" applyBorder="1" applyAlignment="1" applyProtection="0">
      <alignment vertical="bottom"/>
    </xf>
    <xf numFmtId="0" fontId="0" fillId="4" borderId="47" applyNumberFormat="0" applyFont="1" applyFill="1" applyBorder="1" applyAlignment="1" applyProtection="0">
      <alignment vertical="bottom"/>
    </xf>
    <xf numFmtId="0" fontId="0" fillId="5" borderId="47" applyNumberFormat="0" applyFont="1" applyFill="1" applyBorder="1" applyAlignment="1" applyProtection="0">
      <alignment vertical="bottom"/>
    </xf>
    <xf numFmtId="0" fontId="11" fillId="3" borderId="33" applyNumberFormat="0" applyFont="1" applyFill="1" applyBorder="1" applyAlignment="1" applyProtection="0">
      <alignment vertical="bottom"/>
    </xf>
    <xf numFmtId="0" fontId="0" fillId="2" borderId="48" applyNumberFormat="0" applyFont="1" applyFill="1" applyBorder="1" applyAlignment="1" applyProtection="0">
      <alignment vertical="bottom"/>
    </xf>
    <xf numFmtId="0" fontId="0" fillId="2" borderId="46" applyNumberFormat="0" applyFont="1" applyFill="1" applyBorder="1" applyAlignment="1" applyProtection="0">
      <alignment vertical="bottom"/>
    </xf>
    <xf numFmtId="0" fontId="0" fillId="4" borderId="49" applyNumberFormat="0" applyFont="1" applyFill="1" applyBorder="1" applyAlignment="1" applyProtection="0">
      <alignment vertical="bottom"/>
    </xf>
    <xf numFmtId="0" fontId="0" fillId="5" borderId="4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2" fillId="2" borderId="5" applyNumberFormat="0" applyFont="1" applyFill="1" applyBorder="1" applyAlignment="1" applyProtection="0">
      <alignment vertical="bottom"/>
    </xf>
    <xf numFmtId="49" fontId="17" fillId="2" borderId="20" applyNumberFormat="1" applyFont="1" applyFill="1" applyBorder="1" applyAlignment="1" applyProtection="0">
      <alignment horizontal="left" vertical="center"/>
    </xf>
    <xf numFmtId="0" fontId="17" fillId="2" borderId="21" applyNumberFormat="0" applyFont="1" applyFill="1" applyBorder="1" applyAlignment="1" applyProtection="0">
      <alignment horizontal="left" vertical="center"/>
    </xf>
    <xf numFmtId="0" fontId="17" fillId="2" borderId="22" applyNumberFormat="0" applyFont="1" applyFill="1" applyBorder="1" applyAlignment="1" applyProtection="0">
      <alignment horizontal="left" vertical="center"/>
    </xf>
    <xf numFmtId="0" fontId="0" fillId="2" borderId="36" applyNumberFormat="0" applyFont="1" applyFill="1" applyBorder="1" applyAlignment="1" applyProtection="0">
      <alignment vertical="bottom"/>
    </xf>
    <xf numFmtId="49" fontId="0" fillId="3" borderId="50" applyNumberFormat="1" applyFont="1" applyFill="1" applyBorder="1" applyAlignment="1" applyProtection="0">
      <alignment vertical="bottom"/>
    </xf>
    <xf numFmtId="0" fontId="0" fillId="2" borderId="43" applyNumberFormat="0" applyFont="1" applyFill="1" applyBorder="1" applyAlignment="1" applyProtection="0">
      <alignment vertical="bottom"/>
    </xf>
    <xf numFmtId="1" fontId="11" fillId="3" borderId="33" applyNumberFormat="1" applyFont="1" applyFill="1" applyBorder="1" applyAlignment="1" applyProtection="0">
      <alignment vertical="bottom"/>
    </xf>
    <xf numFmtId="0" fontId="0" fillId="2" borderId="5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35" applyNumberFormat="0" applyFont="1" applyFill="1" applyBorder="1" applyAlignment="1" applyProtection="0">
      <alignment vertical="bottom"/>
    </xf>
    <xf numFmtId="49" fontId="11" fillId="3" borderId="33" applyNumberFormat="1" applyFont="1" applyFill="1" applyBorder="1" applyAlignment="1" applyProtection="0">
      <alignment vertical="bottom" wrapText="1"/>
    </xf>
    <xf numFmtId="49" fontId="0" fillId="3" borderId="41" applyNumberFormat="1" applyFont="1" applyFill="1" applyBorder="1" applyAlignment="1" applyProtection="0">
      <alignment vertical="bottom"/>
    </xf>
    <xf numFmtId="0" fontId="0" fillId="2" borderId="42" applyNumberFormat="0" applyFont="1" applyFill="1" applyBorder="1" applyAlignment="1" applyProtection="0">
      <alignment vertical="bottom"/>
    </xf>
    <xf numFmtId="49" fontId="23" fillId="7" borderId="33" applyNumberFormat="1" applyFont="1" applyFill="1" applyBorder="1" applyAlignment="1" applyProtection="0">
      <alignment vertical="bottom"/>
    </xf>
    <xf numFmtId="49" fontId="11" fillId="7" borderId="44" applyNumberFormat="1" applyFont="1" applyFill="1" applyBorder="1" applyAlignment="1" applyProtection="0">
      <alignment vertical="bottom"/>
    </xf>
    <xf numFmtId="0" fontId="0" fillId="2" borderId="5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7" fillId="3" borderId="53" applyNumberFormat="1" applyFont="1" applyFill="1" applyBorder="1" applyAlignment="1" applyProtection="0">
      <alignment vertical="bottom"/>
    </xf>
    <xf numFmtId="0" fontId="0" fillId="3" borderId="53" applyNumberFormat="1" applyFont="1" applyFill="1" applyBorder="1" applyAlignment="1" applyProtection="0">
      <alignment vertical="bottom"/>
    </xf>
    <xf numFmtId="49" fontId="0" fillId="3" borderId="53" applyNumberFormat="1" applyFont="1" applyFill="1" applyBorder="1" applyAlignment="1" applyProtection="0">
      <alignment vertical="bottom"/>
    </xf>
    <xf numFmtId="49" fontId="0" fillId="3" borderId="53" applyNumberFormat="1" applyFont="1" applyFill="1" applyBorder="1" applyAlignment="1" applyProtection="0">
      <alignment vertical="center" wrapText="1"/>
    </xf>
    <xf numFmtId="0" fontId="0" fillId="3" borderId="53" applyNumberFormat="0" applyFont="1" applyFill="1" applyBorder="1" applyAlignment="1" applyProtection="0">
      <alignment vertical="center" wrapText="1"/>
    </xf>
    <xf numFmtId="0" fontId="28" fillId="3" borderId="53" applyNumberFormat="0" applyFont="1" applyFill="1" applyBorder="1" applyAlignment="1" applyProtection="0">
      <alignment vertical="center" wrapText="1"/>
    </xf>
    <xf numFmtId="0" fontId="0" fillId="3" borderId="54" applyNumberFormat="0" applyFont="1" applyFill="1" applyBorder="1" applyAlignment="1" applyProtection="0">
      <alignment vertical="center" wrapText="1"/>
    </xf>
    <xf numFmtId="0" fontId="0" fillId="8" borderId="15" applyNumberFormat="0" applyFont="1" applyFill="1" applyBorder="1" applyAlignment="1" applyProtection="0">
      <alignment vertical="center" wrapText="1"/>
    </xf>
    <xf numFmtId="0" fontId="28" fillId="3" borderId="18" applyNumberFormat="0" applyFont="1" applyFill="1" applyBorder="1" applyAlignment="1" applyProtection="0">
      <alignment vertical="center" wrapText="1"/>
    </xf>
    <xf numFmtId="14" fontId="0" fillId="3" borderId="53" applyNumberFormat="1" applyFont="1" applyFill="1" applyBorder="1" applyAlignment="1" applyProtection="0">
      <alignment vertical="bottom"/>
    </xf>
    <xf numFmtId="2" fontId="0" fillId="3" borderId="53" applyNumberFormat="1" applyFont="1" applyFill="1" applyBorder="1" applyAlignment="1" applyProtection="0">
      <alignment vertical="bottom"/>
    </xf>
    <xf numFmtId="60" fontId="0" fillId="3" borderId="53" applyNumberFormat="1" applyFont="1" applyFill="1" applyBorder="1" applyAlignment="1" applyProtection="0">
      <alignment vertical="bottom"/>
    </xf>
    <xf numFmtId="10" fontId="0" fillId="3" borderId="53" applyNumberFormat="1" applyFont="1" applyFill="1" applyBorder="1" applyAlignment="1" applyProtection="0">
      <alignment vertical="bottom"/>
    </xf>
    <xf numFmtId="49" fontId="29" fillId="3" borderId="53" applyNumberFormat="1" applyFont="1" applyFill="1" applyBorder="1" applyAlignment="1" applyProtection="0">
      <alignment vertical="bottom"/>
    </xf>
    <xf numFmtId="49" fontId="0" fillId="3" borderId="53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d70b8"/>
      <rgbColor rgb="ffaaaaaa"/>
      <rgbColor rgb="ffff69b4"/>
      <rgbColor rgb="ffffffff"/>
      <rgbColor rgb="ff02ffe1"/>
      <rgbColor rgb="ff263d53"/>
      <rgbColor rgb="ff0b0c0c"/>
      <rgbColor rgb="fff3f2f1"/>
      <rgbColor rgb="ffe5e6e7"/>
      <rgbColor rgb="ff86939f"/>
      <rgbColor rgb="ffa1bfcc"/>
      <rgbColor rgb="ff4a5d70"/>
      <rgbColor rgb="ff003078"/>
      <rgbColor rgb="ffaeaeae"/>
      <rgbColor rgb="ff16558d"/>
      <rgbColor rgb="ffe7f7fd"/>
      <rgbColor rgb="ff467886"/>
      <rgbColor rgb="ffd0df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ogle.com/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jbr@bt.co.uk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info@great.co.uk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Z47"/>
  <sheetViews>
    <sheetView workbookViewId="0" showGridLines="0" defaultGridColor="1"/>
  </sheetViews>
  <sheetFormatPr defaultColWidth="32.8333" defaultRowHeight="63.95" customHeight="1" outlineLevelRow="0" outlineLevelCol="0"/>
  <cols>
    <col min="1" max="1" width="16.8516" style="1" customWidth="1"/>
    <col min="2" max="2" width="32.8516" style="1" customWidth="1"/>
    <col min="3" max="3" width="24.8516" style="1" customWidth="1"/>
    <col min="4" max="4" width="32.8516" style="1" customWidth="1"/>
    <col min="5" max="5" width="24.8516" style="1" customWidth="1"/>
    <col min="6" max="26" width="32.8516" style="1" customWidth="1"/>
    <col min="27" max="16384" width="32.8516" style="1" customWidth="1"/>
  </cols>
  <sheetData>
    <row r="1" ht="24" customHeight="1">
      <c r="A1" s="2"/>
      <c r="B1" t="s" s="3">
        <v>0</v>
      </c>
      <c r="C1" t="s" s="3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63.95" customHeight="1">
      <c r="A2" s="6"/>
      <c r="B2" t="s" s="7">
        <v>2</v>
      </c>
      <c r="C2" s="8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</row>
    <row r="3" ht="63.95" customHeight="1">
      <c r="A3" s="6"/>
      <c r="B3" s="11"/>
      <c r="C3" s="9"/>
      <c r="D3" s="9"/>
      <c r="E3" s="9"/>
      <c r="F3" s="1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ht="63.95" customHeight="1">
      <c r="A4" s="6"/>
      <c r="B4" t="s" s="13">
        <v>3</v>
      </c>
      <c r="C4" s="14"/>
      <c r="D4" s="1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</row>
    <row r="5" ht="63.95" customHeight="1">
      <c r="A5" s="6"/>
      <c r="B5" s="14"/>
      <c r="C5" s="14"/>
      <c r="D5" s="14"/>
      <c r="E5" s="9"/>
      <c r="F5" s="12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</row>
    <row r="6" ht="63.95" customHeight="1">
      <c r="A6" s="6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</row>
    <row r="7" ht="63.95" customHeight="1">
      <c r="A7" s="6"/>
      <c r="B7" t="s" s="15">
        <v>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</row>
    <row r="8" ht="63.95" customHeight="1">
      <c r="A8" s="6"/>
      <c r="B8" t="s" s="16">
        <v>5</v>
      </c>
      <c r="C8" s="17"/>
      <c r="D8" s="9"/>
      <c r="E8" s="9"/>
      <c r="F8" s="1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ht="63.95" customHeight="1">
      <c r="A9" s="6"/>
      <c r="B9" s="17"/>
      <c r="C9" s="17"/>
      <c r="D9" s="9"/>
      <c r="E9" s="18"/>
      <c r="F9" s="1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</row>
    <row r="10" ht="24" customHeight="1">
      <c r="A10" s="6"/>
      <c r="B10" s="17"/>
      <c r="C10" s="17"/>
      <c r="D10" s="9"/>
      <c r="E10" s="18"/>
      <c r="F10" s="1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</row>
    <row r="11" ht="48" customHeight="1">
      <c r="A11" s="6"/>
      <c r="B11" t="s" s="19">
        <v>6</v>
      </c>
      <c r="C11" s="9"/>
      <c r="D11" t="s" s="19">
        <v>7</v>
      </c>
      <c r="E11" s="9"/>
      <c r="F11" t="s" s="19">
        <v>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</row>
    <row r="12" ht="48" customHeight="1">
      <c r="A12" t="s" s="20">
        <v>9</v>
      </c>
      <c r="B12" t="s" s="21">
        <v>10</v>
      </c>
      <c r="C12" t="s" s="22">
        <v>11</v>
      </c>
      <c r="D12" t="s" s="21">
        <v>12</v>
      </c>
      <c r="E12" t="s" s="22">
        <v>13</v>
      </c>
      <c r="F12" t="s" s="21">
        <v>14</v>
      </c>
      <c r="G12" s="23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</row>
    <row r="13" ht="63.95" customHeight="1">
      <c r="A13" s="6"/>
      <c r="B13" s="24"/>
      <c r="C13" s="9"/>
      <c r="D13" s="24"/>
      <c r="E13" s="9"/>
      <c r="F13" s="24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</row>
    <row r="14" ht="63.95" customHeight="1">
      <c r="A14" s="6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</row>
    <row r="15" ht="63.95" customHeight="1">
      <c r="A15" s="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</row>
    <row r="16" ht="63.95" customHeight="1">
      <c r="A16" s="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</row>
    <row r="17" ht="63.95" customHeight="1">
      <c r="A17" s="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</row>
    <row r="18" ht="63.95" customHeight="1">
      <c r="A18" s="6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</row>
    <row r="19" ht="63.95" customHeight="1">
      <c r="A19" s="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</row>
    <row r="20" ht="63.95" customHeight="1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</row>
    <row r="21" ht="63.95" customHeight="1">
      <c r="A21" s="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</row>
    <row r="22" ht="63.95" customHeight="1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</row>
    <row r="23" ht="63.95" customHeight="1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</row>
    <row r="24" ht="63.95" customHeight="1">
      <c r="A24" s="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</row>
    <row r="25" ht="63.95" customHeight="1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</row>
    <row r="26" ht="63.95" customHeight="1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</row>
    <row r="27" ht="63.95" customHeight="1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</row>
    <row r="28" ht="63.95" customHeight="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 ht="63.95" customHeight="1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 ht="63.95" customHeight="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</row>
    <row r="31" ht="63.95" customHeight="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</row>
    <row r="32" ht="63.95" customHeight="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</row>
    <row r="33" ht="63.95" customHeight="1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0"/>
    </row>
    <row r="34" ht="63.95" customHeight="1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</row>
    <row r="35" ht="63.95" customHeight="1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</row>
    <row r="36" ht="63.95" customHeight="1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</row>
    <row r="37" ht="63.95" customHeight="1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</row>
    <row r="38" ht="63.95" customHeight="1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</row>
    <row r="39" ht="63.95" customHeight="1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</row>
    <row r="40" ht="63.95" customHeight="1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0"/>
    </row>
    <row r="41" ht="63.95" customHeight="1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0"/>
    </row>
    <row r="42" ht="63.95" customHeight="1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0"/>
    </row>
    <row r="43" ht="63.95" customHeight="1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0"/>
    </row>
    <row r="44" ht="63.95" customHeight="1">
      <c r="A44" s="6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0"/>
    </row>
    <row r="45" ht="63.95" customHeight="1">
      <c r="A45" s="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0"/>
    </row>
    <row r="46" ht="63.95" customHeight="1">
      <c r="A46" s="6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0"/>
    </row>
    <row r="47" ht="63.95" customHeight="1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7"/>
    </row>
  </sheetData>
  <mergeCells count="2">
    <mergeCell ref="B4:D5"/>
    <mergeCell ref="B8:C10"/>
  </mergeCells>
  <dataValidations count="1">
    <dataValidation type="list" allowBlank="1" showInputMessage="1" showErrorMessage="1" sqref="B12">
      <formula1>"Choose material,Aluminium,Fibre_based_composite,Glass,Paper_and_board,Plastic,Steel,Wood"</formula1>
    </dataValidation>
  </dataValidations>
  <hyperlinks>
    <hyperlink ref="B8" r:id="rId1" location="" tooltip="" display="&#10;&#10;Sign in to submit summary log&#10;&#10;Read guidance on packaging waste regulations&#10;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K24"/>
  <sheetViews>
    <sheetView workbookViewId="0" showGridLines="0" defaultGridColor="1"/>
  </sheetViews>
  <sheetFormatPr defaultColWidth="40.8333" defaultRowHeight="96" customHeight="1" outlineLevelRow="0" outlineLevelCol="0"/>
  <cols>
    <col min="1" max="1" width="12.8516" style="28" customWidth="1"/>
    <col min="2" max="14" width="40.8516" style="28" customWidth="1"/>
    <col min="15" max="16" width="12.8516" style="28" customWidth="1"/>
    <col min="17" max="22" width="40.8516" style="28" customWidth="1"/>
    <col min="23" max="24" width="12.8516" style="28" customWidth="1"/>
    <col min="25" max="30" width="40.8516" style="28" customWidth="1"/>
    <col min="31" max="37" width="12.8516" style="28" customWidth="1"/>
    <col min="38" max="16384" width="40.8516" style="28" customWidth="1"/>
  </cols>
  <sheetData>
    <row r="1" ht="56.1" customHeight="1">
      <c r="A1" s="2"/>
      <c r="B1" s="29"/>
      <c r="C1" s="29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0"/>
      <c r="Q1" s="30"/>
      <c r="R1" s="30"/>
      <c r="S1" s="30"/>
      <c r="T1" s="30"/>
      <c r="U1" s="30"/>
      <c r="V1" s="30"/>
      <c r="W1" s="31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3"/>
    </row>
    <row r="2" ht="56.1" customHeight="1">
      <c r="A2" s="6"/>
      <c r="B2" s="34"/>
      <c r="C2" s="34"/>
      <c r="D2" s="34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35"/>
      <c r="Q2" s="35"/>
      <c r="R2" s="35"/>
      <c r="S2" s="35"/>
      <c r="T2" s="35"/>
      <c r="U2" s="35"/>
      <c r="V2" s="35"/>
      <c r="W2" s="31"/>
      <c r="X2" s="36"/>
      <c r="Y2" s="36"/>
      <c r="Z2" s="36"/>
      <c r="AA2" s="36"/>
      <c r="AB2" s="36"/>
      <c r="AC2" s="36"/>
      <c r="AD2" t="s" s="37">
        <v>15</v>
      </c>
      <c r="AE2" s="38"/>
      <c r="AF2" s="38"/>
      <c r="AG2" s="38"/>
      <c r="AH2" s="38"/>
      <c r="AI2" s="38"/>
      <c r="AJ2" s="38"/>
      <c r="AK2" s="39"/>
    </row>
    <row r="3" ht="56.1" customHeight="1">
      <c r="A3" s="6"/>
      <c r="B3" t="s" s="40">
        <v>16</v>
      </c>
      <c r="C3" s="41"/>
      <c r="D3" s="4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35"/>
      <c r="Q3" t="s" s="43">
        <v>17</v>
      </c>
      <c r="R3" s="44"/>
      <c r="S3" s="45"/>
      <c r="T3" s="35"/>
      <c r="U3" t="s" s="46">
        <v>18</v>
      </c>
      <c r="V3" s="35"/>
      <c r="W3" s="31"/>
      <c r="X3" s="36"/>
      <c r="Y3" t="s" s="43">
        <v>19</v>
      </c>
      <c r="Z3" s="44"/>
      <c r="AA3" s="47"/>
      <c r="AB3" s="47"/>
      <c r="AC3" s="47"/>
      <c r="AD3" t="s" s="37">
        <v>20</v>
      </c>
      <c r="AE3" s="48"/>
      <c r="AF3" s="48"/>
      <c r="AG3" s="48"/>
      <c r="AH3" s="48"/>
      <c r="AI3" s="48"/>
      <c r="AJ3" s="48"/>
      <c r="AK3" s="49"/>
    </row>
    <row r="4" ht="56.1" customHeight="1">
      <c r="A4" s="50"/>
      <c r="B4" t="s" s="51">
        <v>21</v>
      </c>
      <c r="C4" s="52"/>
      <c r="D4" s="53"/>
      <c r="E4" s="54"/>
      <c r="F4" t="s" s="55">
        <v>22</v>
      </c>
      <c r="G4" s="56"/>
      <c r="H4" s="56"/>
      <c r="I4" s="56"/>
      <c r="J4" s="56"/>
      <c r="K4" s="56"/>
      <c r="L4" s="56"/>
      <c r="M4" s="56"/>
      <c r="N4" s="56"/>
      <c r="O4" s="9"/>
      <c r="P4" s="57"/>
      <c r="Q4" t="s" s="58">
        <v>23</v>
      </c>
      <c r="R4" s="59"/>
      <c r="S4" s="60"/>
      <c r="T4" s="61"/>
      <c r="U4" t="s" s="46">
        <v>24</v>
      </c>
      <c r="V4" s="35"/>
      <c r="W4" s="31"/>
      <c r="X4" s="62"/>
      <c r="Y4" t="s" s="63">
        <v>25</v>
      </c>
      <c r="Z4" s="64"/>
      <c r="AA4" s="64"/>
      <c r="AB4" s="64"/>
      <c r="AC4" s="65"/>
      <c r="AD4" s="66"/>
      <c r="AE4" s="48"/>
      <c r="AF4" s="48"/>
      <c r="AG4" s="48"/>
      <c r="AH4" s="48"/>
      <c r="AI4" s="48"/>
      <c r="AJ4" s="48"/>
      <c r="AK4" s="49"/>
    </row>
    <row r="5" ht="56.1" customHeight="1">
      <c r="A5" s="6"/>
      <c r="B5" s="67"/>
      <c r="C5" s="67"/>
      <c r="D5" s="67"/>
      <c r="E5" s="68"/>
      <c r="F5" s="68"/>
      <c r="G5" s="68"/>
      <c r="H5" s="68"/>
      <c r="I5" s="68"/>
      <c r="J5" s="68"/>
      <c r="K5" s="68"/>
      <c r="L5" s="68"/>
      <c r="M5" s="68"/>
      <c r="N5" s="68"/>
      <c r="O5" s="9"/>
      <c r="P5" s="35"/>
      <c r="Q5" s="69"/>
      <c r="R5" s="69"/>
      <c r="S5" s="69"/>
      <c r="T5" s="45"/>
      <c r="U5" s="45"/>
      <c r="V5" s="45"/>
      <c r="W5" s="30"/>
      <c r="X5" s="36"/>
      <c r="Y5" s="70"/>
      <c r="Z5" s="70"/>
      <c r="AA5" s="70"/>
      <c r="AB5" s="70"/>
      <c r="AC5" s="70"/>
      <c r="AD5" s="47"/>
      <c r="AE5" s="32"/>
      <c r="AF5" s="32"/>
      <c r="AG5" s="32"/>
      <c r="AH5" s="32"/>
      <c r="AI5" s="32"/>
      <c r="AJ5" s="32"/>
      <c r="AK5" s="33"/>
    </row>
    <row r="6" ht="96" customHeight="1">
      <c r="A6" s="71"/>
      <c r="B6" t="s" s="72">
        <v>26</v>
      </c>
      <c r="C6" t="s" s="73">
        <v>27</v>
      </c>
      <c r="D6" t="s" s="73">
        <v>28</v>
      </c>
      <c r="E6" t="s" s="73">
        <v>29</v>
      </c>
      <c r="F6" t="s" s="73">
        <v>30</v>
      </c>
      <c r="G6" t="s" s="73">
        <v>31</v>
      </c>
      <c r="H6" t="s" s="73">
        <v>32</v>
      </c>
      <c r="I6" t="s" s="73">
        <v>33</v>
      </c>
      <c r="J6" t="s" s="73">
        <v>34</v>
      </c>
      <c r="K6" t="s" s="73">
        <v>35</v>
      </c>
      <c r="L6" t="s" s="73">
        <v>36</v>
      </c>
      <c r="M6" t="s" s="73">
        <v>37</v>
      </c>
      <c r="N6" t="s" s="73">
        <v>38</v>
      </c>
      <c r="O6" s="74">
        <v>1</v>
      </c>
      <c r="P6" s="75">
        <v>2</v>
      </c>
      <c r="Q6" t="s" s="76">
        <v>39</v>
      </c>
      <c r="R6" t="s" s="76">
        <v>40</v>
      </c>
      <c r="S6" t="s" s="76">
        <v>41</v>
      </c>
      <c r="T6" t="s" s="76">
        <v>42</v>
      </c>
      <c r="U6" t="s" s="77">
        <v>43</v>
      </c>
      <c r="V6" t="s" s="76">
        <v>44</v>
      </c>
      <c r="W6" s="78">
        <v>3</v>
      </c>
      <c r="X6" s="79">
        <v>4</v>
      </c>
      <c r="Y6" t="s" s="73">
        <v>45</v>
      </c>
      <c r="Z6" t="s" s="76">
        <v>46</v>
      </c>
      <c r="AA6" t="s" s="76">
        <v>47</v>
      </c>
      <c r="AB6" t="s" s="76">
        <v>48</v>
      </c>
      <c r="AC6" t="s" s="76">
        <v>49</v>
      </c>
      <c r="AD6" t="s" s="76">
        <v>50</v>
      </c>
      <c r="AE6" s="80">
        <v>5</v>
      </c>
      <c r="AF6" s="81"/>
      <c r="AG6" s="81"/>
      <c r="AH6" s="81"/>
      <c r="AI6" s="81"/>
      <c r="AJ6" s="81"/>
      <c r="AK6" s="82"/>
    </row>
    <row r="7" ht="48.75" customHeight="1">
      <c r="A7" t="s" s="83">
        <v>51</v>
      </c>
      <c r="B7" t="s" s="84">
        <v>52</v>
      </c>
      <c r="C7" t="s" s="84">
        <v>53</v>
      </c>
      <c r="D7" t="s" s="84">
        <v>54</v>
      </c>
      <c r="E7" t="s" s="84">
        <v>55</v>
      </c>
      <c r="F7" t="s" s="84">
        <v>56</v>
      </c>
      <c r="G7" t="s" s="84">
        <v>57</v>
      </c>
      <c r="H7" t="s" s="84">
        <v>58</v>
      </c>
      <c r="I7" t="s" s="84">
        <v>59</v>
      </c>
      <c r="J7" t="s" s="84">
        <v>60</v>
      </c>
      <c r="K7" t="s" s="84">
        <v>61</v>
      </c>
      <c r="L7" t="s" s="84">
        <v>62</v>
      </c>
      <c r="M7" t="s" s="84">
        <v>63</v>
      </c>
      <c r="N7" t="s" s="84">
        <v>64</v>
      </c>
      <c r="O7" t="s" s="85">
        <v>65</v>
      </c>
      <c r="P7" t="s" s="86">
        <v>66</v>
      </c>
      <c r="Q7" t="s" s="87">
        <v>67</v>
      </c>
      <c r="R7" t="s" s="87">
        <v>68</v>
      </c>
      <c r="S7" t="s" s="87">
        <v>69</v>
      </c>
      <c r="T7" t="s" s="87">
        <v>70</v>
      </c>
      <c r="U7" t="s" s="88">
        <v>71</v>
      </c>
      <c r="V7" t="s" s="87">
        <v>72</v>
      </c>
      <c r="W7" t="s" s="89">
        <v>65</v>
      </c>
      <c r="X7" t="s" s="90">
        <v>73</v>
      </c>
      <c r="Y7" t="s" s="91">
        <v>74</v>
      </c>
      <c r="Z7" t="s" s="87">
        <v>75</v>
      </c>
      <c r="AA7" t="s" s="87">
        <v>76</v>
      </c>
      <c r="AB7" t="s" s="87">
        <v>77</v>
      </c>
      <c r="AC7" t="s" s="87">
        <v>78</v>
      </c>
      <c r="AD7" t="s" s="87">
        <v>79</v>
      </c>
      <c r="AE7" s="92"/>
      <c r="AF7" s="92"/>
      <c r="AG7" s="92"/>
      <c r="AH7" s="92"/>
      <c r="AI7" s="92"/>
      <c r="AJ7" s="92"/>
      <c r="AK7" s="93"/>
    </row>
    <row r="8" ht="96" customHeight="1">
      <c r="A8" t="s" s="94">
        <v>80</v>
      </c>
      <c r="B8" s="95" cm="1">
        <f t="array" ref="B8">IF(COUNTA(F8:G8)=0,"",9992+ROW())</f>
        <v>10000</v>
      </c>
      <c r="C8" s="96">
        <v>45805</v>
      </c>
      <c r="D8" t="s" s="97">
        <v>81</v>
      </c>
      <c r="E8" t="s" s="97">
        <v>81</v>
      </c>
      <c r="F8" s="98">
        <v>50</v>
      </c>
      <c r="G8" s="98">
        <v>15</v>
      </c>
      <c r="H8" s="98">
        <v>5</v>
      </c>
      <c r="I8" s="98" cm="1">
        <f t="array" ref="I8">_xlfn.IFERROR((F8-G8-H8),"")</f>
        <v>30</v>
      </c>
      <c r="J8" t="s" s="97">
        <v>82</v>
      </c>
      <c r="K8" t="s" s="97">
        <v>81</v>
      </c>
      <c r="L8" s="98">
        <v>5</v>
      </c>
      <c r="M8" s="99">
        <v>0.5</v>
      </c>
      <c r="N8" s="100" cm="1">
        <f t="array" ref="N8">_xlfn.IFERROR((IF(IF(J8="Yes",((I8-(I8*0.15%))*M8),(I8*M8))=0,"",IF(J8="Yes",((I8-(I8*0.15%))*M8),(I8*M8)))-L8),"")</f>
        <v>9.977499999999999</v>
      </c>
      <c r="O8" s="101"/>
      <c r="P8" t="s" s="102">
        <v>80</v>
      </c>
      <c r="Q8" t="s" s="97">
        <v>83</v>
      </c>
      <c r="R8" t="s" s="97">
        <v>84</v>
      </c>
      <c r="S8" t="s" s="97">
        <v>85</v>
      </c>
      <c r="T8" t="s" s="103">
        <v>86</v>
      </c>
      <c r="U8" s="104">
        <v>1234567890</v>
      </c>
      <c r="V8" t="s" s="97">
        <v>87</v>
      </c>
      <c r="W8" s="105"/>
      <c r="X8" t="s" s="106">
        <v>80</v>
      </c>
      <c r="Y8" t="s" s="97">
        <v>88</v>
      </c>
      <c r="Z8" t="s" s="97">
        <v>89</v>
      </c>
      <c r="AA8" t="s" s="97">
        <v>90</v>
      </c>
      <c r="AB8" t="s" s="97">
        <v>91</v>
      </c>
      <c r="AC8" t="s" s="97">
        <v>92</v>
      </c>
      <c r="AD8" s="107"/>
      <c r="AE8" s="108"/>
      <c r="AF8" s="38"/>
      <c r="AG8" s="38"/>
      <c r="AH8" s="38"/>
      <c r="AI8" s="38"/>
      <c r="AJ8" s="38"/>
      <c r="AK8" s="39"/>
    </row>
    <row r="9" ht="96" customHeight="1">
      <c r="A9" s="71"/>
      <c r="B9" s="109" cm="1">
        <f t="array" ref="B9">IF(COUNTA(F9:G9)=0,"",9992+ROW())</f>
        <v>10001</v>
      </c>
      <c r="C9" s="110">
        <v>45870</v>
      </c>
      <c r="D9" t="s" s="84">
        <v>93</v>
      </c>
      <c r="E9" t="s" s="84">
        <v>94</v>
      </c>
      <c r="F9" s="111">
        <v>10000</v>
      </c>
      <c r="G9" s="111">
        <v>5000</v>
      </c>
      <c r="H9" s="111">
        <v>505</v>
      </c>
      <c r="I9" s="112" cm="1">
        <f t="array" ref="I9">_xlfn.IFERROR((F9-G9-H9),"")</f>
        <v>4495</v>
      </c>
      <c r="J9" t="s" s="84">
        <v>82</v>
      </c>
      <c r="K9" t="s" s="84">
        <v>95</v>
      </c>
      <c r="L9" s="111">
        <v>21</v>
      </c>
      <c r="M9" s="113">
        <v>0.75</v>
      </c>
      <c r="N9" s="111" cm="1">
        <f t="array" ref="N9">_xlfn.IFERROR((IF(IF(J9="Yes",((I9-(I9*0.15%))*M9),(I9*M9))=0,"",IF(J9="Yes",((I9-(I9*0.15%))*M9),(I9*M9)))-L9),"")</f>
        <v>3345.193125</v>
      </c>
      <c r="O9" s="101"/>
      <c r="P9" s="57"/>
      <c r="Q9" t="s" s="84">
        <v>96</v>
      </c>
      <c r="R9" t="s" s="84">
        <v>97</v>
      </c>
      <c r="S9" t="s" s="84">
        <v>98</v>
      </c>
      <c r="T9" t="s" s="114">
        <v>99</v>
      </c>
      <c r="U9" t="s" s="115">
        <v>100</v>
      </c>
      <c r="V9" t="s" s="84">
        <v>101</v>
      </c>
      <c r="W9" s="116"/>
      <c r="X9" s="62"/>
      <c r="Y9" t="s" s="84">
        <v>102</v>
      </c>
      <c r="Z9" t="s" s="84">
        <v>103</v>
      </c>
      <c r="AA9" t="s" s="84">
        <v>104</v>
      </c>
      <c r="AB9" t="s" s="84">
        <v>105</v>
      </c>
      <c r="AC9" t="s" s="84">
        <v>106</v>
      </c>
      <c r="AD9" t="s" s="84">
        <v>107</v>
      </c>
      <c r="AE9" s="117"/>
      <c r="AF9" s="48"/>
      <c r="AG9" s="48"/>
      <c r="AH9" s="48"/>
      <c r="AI9" s="48"/>
      <c r="AJ9" s="48"/>
      <c r="AK9" s="49"/>
    </row>
    <row r="10" ht="96" customHeight="1">
      <c r="A10" s="71"/>
      <c r="B10" s="109" cm="1">
        <f t="array" ref="B10">IF(COUNTA(F10:G10)=0,"",9992+ROW())</f>
        <v>10002</v>
      </c>
      <c r="C10" s="110">
        <v>45905</v>
      </c>
      <c r="D10" t="s" s="84">
        <v>108</v>
      </c>
      <c r="E10" t="s" s="84">
        <v>109</v>
      </c>
      <c r="F10" s="111">
        <v>3640</v>
      </c>
      <c r="G10" s="111">
        <v>1660</v>
      </c>
      <c r="H10" s="111">
        <v>140</v>
      </c>
      <c r="I10" s="112" cm="1">
        <f t="array" ref="I10">_xlfn.IFERROR((F10-G10-H10),"")</f>
        <v>1840</v>
      </c>
      <c r="J10" t="s" s="84">
        <v>110</v>
      </c>
      <c r="K10" t="s" s="84">
        <v>111</v>
      </c>
      <c r="L10" s="111">
        <v>115</v>
      </c>
      <c r="M10" s="113">
        <v>0.8</v>
      </c>
      <c r="N10" s="111" cm="1">
        <f t="array" ref="N10">_xlfn.IFERROR((IF(IF(J10="Yes",((I10-(I10*0.15%))*M10),(I10*M10))=0,"",IF(J10="Yes",((I10-(I10*0.15%))*M10),(I10*M10)))-L10),"")</f>
        <v>1357</v>
      </c>
      <c r="O10" s="101"/>
      <c r="P10" s="57"/>
      <c r="Q10" t="s" s="84">
        <v>112</v>
      </c>
      <c r="R10" t="s" s="84">
        <v>113</v>
      </c>
      <c r="S10" t="s" s="84">
        <v>114</v>
      </c>
      <c r="T10" t="s" s="114">
        <v>115</v>
      </c>
      <c r="U10" t="s" s="115">
        <v>116</v>
      </c>
      <c r="V10" t="s" s="84">
        <v>117</v>
      </c>
      <c r="W10" s="116"/>
      <c r="X10" s="62"/>
      <c r="Y10" t="s" s="84">
        <v>118</v>
      </c>
      <c r="Z10" t="s" s="84">
        <v>119</v>
      </c>
      <c r="AA10" t="s" s="84">
        <v>120</v>
      </c>
      <c r="AB10" t="s" s="84">
        <v>121</v>
      </c>
      <c r="AC10" t="s" s="84">
        <v>122</v>
      </c>
      <c r="AD10" t="s" s="84">
        <v>123</v>
      </c>
      <c r="AE10" s="117"/>
      <c r="AF10" s="48"/>
      <c r="AG10" s="48"/>
      <c r="AH10" s="48"/>
      <c r="AI10" s="48"/>
      <c r="AJ10" s="48"/>
      <c r="AK10" s="49"/>
    </row>
    <row r="11" ht="96" customHeight="1">
      <c r="A11" s="71"/>
      <c r="B11" s="109" cm="1">
        <f t="array" ref="B11">IF(COUNTA(F11:G11)=0,"",9992+ROW())</f>
        <v>10003</v>
      </c>
      <c r="C11" s="110">
        <v>45900</v>
      </c>
      <c r="D11" t="s" s="84">
        <v>124</v>
      </c>
      <c r="E11" t="s" s="84">
        <v>125</v>
      </c>
      <c r="F11" s="111">
        <v>3615</v>
      </c>
      <c r="G11" s="111">
        <v>1610</v>
      </c>
      <c r="H11" s="111">
        <v>75</v>
      </c>
      <c r="I11" s="112" cm="1">
        <f t="array" ref="I11">_xlfn.IFERROR((F11-G11-H11),"")</f>
        <v>1930</v>
      </c>
      <c r="J11" t="s" s="84">
        <v>82</v>
      </c>
      <c r="K11" t="s" s="84">
        <v>126</v>
      </c>
      <c r="L11" s="111">
        <v>120</v>
      </c>
      <c r="M11" s="113">
        <v>0.85</v>
      </c>
      <c r="N11" s="111" cm="1">
        <f t="array" ref="N11">_xlfn.IFERROR((IF(IF(J11="Yes",((I11-(I11*0.15%))*M11),(I11*M11))=0,"",IF(J11="Yes",((I11-(I11*0.15%))*M11),(I11*M11)))-L11),"")</f>
        <v>1518.03925</v>
      </c>
      <c r="O11" s="101"/>
      <c r="P11" s="57"/>
      <c r="Q11" t="s" s="84">
        <v>127</v>
      </c>
      <c r="R11" t="s" s="84">
        <v>128</v>
      </c>
      <c r="S11" t="s" s="84">
        <v>129</v>
      </c>
      <c r="T11" t="s" s="114">
        <v>130</v>
      </c>
      <c r="U11" t="s" s="115">
        <v>131</v>
      </c>
      <c r="V11" t="s" s="84">
        <v>132</v>
      </c>
      <c r="W11" s="116"/>
      <c r="X11" s="62"/>
      <c r="Y11" t="s" s="84">
        <v>133</v>
      </c>
      <c r="Z11" t="s" s="84">
        <v>134</v>
      </c>
      <c r="AA11" t="s" s="84">
        <v>135</v>
      </c>
      <c r="AB11" t="s" s="84">
        <v>136</v>
      </c>
      <c r="AC11" t="s" s="84">
        <v>137</v>
      </c>
      <c r="AD11" t="s" s="84">
        <v>138</v>
      </c>
      <c r="AE11" s="117"/>
      <c r="AF11" s="48"/>
      <c r="AG11" s="48"/>
      <c r="AH11" s="48"/>
      <c r="AI11" s="48"/>
      <c r="AJ11" s="48"/>
      <c r="AK11" s="49"/>
    </row>
    <row r="12" ht="96" customHeight="1">
      <c r="A12" s="71"/>
      <c r="B12" s="109" cm="1">
        <f t="array" ref="B12">IF(COUNTA(F12:G12)=0,"",9992+ROW())</f>
        <v>10004</v>
      </c>
      <c r="C12" s="110">
        <v>45871</v>
      </c>
      <c r="D12" t="s" s="84">
        <v>139</v>
      </c>
      <c r="E12" t="s" s="84">
        <v>140</v>
      </c>
      <c r="F12" s="111">
        <v>10050</v>
      </c>
      <c r="G12" s="111">
        <v>5150</v>
      </c>
      <c r="H12" s="111">
        <v>515</v>
      </c>
      <c r="I12" s="112" cm="1">
        <f t="array" ref="I12">_xlfn.IFERROR((F12-G12-H12),"")</f>
        <v>4385</v>
      </c>
      <c r="J12" t="s" s="84">
        <v>110</v>
      </c>
      <c r="K12" t="s" s="84">
        <v>141</v>
      </c>
      <c r="L12" s="111">
        <v>125</v>
      </c>
      <c r="M12" s="113">
        <v>0.9</v>
      </c>
      <c r="N12" s="111" cm="1">
        <f t="array" ref="N12">_xlfn.IFERROR((IF(IF(J12="Yes",((I12-(I12*0.15%))*M12),(I12*M12))=0,"",IF(J12="Yes",((I12-(I12*0.15%))*M12),(I12*M12)))-L12),"")</f>
        <v>3821.5</v>
      </c>
      <c r="O12" s="101"/>
      <c r="P12" s="57"/>
      <c r="Q12" t="s" s="84">
        <v>142</v>
      </c>
      <c r="R12" t="s" s="84">
        <v>143</v>
      </c>
      <c r="S12" t="s" s="84">
        <v>144</v>
      </c>
      <c r="T12" t="s" s="114">
        <v>145</v>
      </c>
      <c r="U12" t="s" s="115">
        <v>100</v>
      </c>
      <c r="V12" t="s" s="84">
        <v>146</v>
      </c>
      <c r="W12" s="116"/>
      <c r="X12" s="62"/>
      <c r="Y12" t="s" s="84">
        <v>147</v>
      </c>
      <c r="Z12" t="s" s="84">
        <v>148</v>
      </c>
      <c r="AA12" t="s" s="84">
        <v>149</v>
      </c>
      <c r="AB12" t="s" s="84">
        <v>150</v>
      </c>
      <c r="AC12" t="s" s="84">
        <v>151</v>
      </c>
      <c r="AD12" t="s" s="84">
        <v>123</v>
      </c>
      <c r="AE12" s="117"/>
      <c r="AF12" s="48"/>
      <c r="AG12" s="48"/>
      <c r="AH12" s="48"/>
      <c r="AI12" s="48"/>
      <c r="AJ12" s="48"/>
      <c r="AK12" s="49"/>
    </row>
    <row r="13" ht="96" customHeight="1">
      <c r="A13" s="71"/>
      <c r="B13" s="109" cm="1">
        <f t="array" ref="B13">IF(COUNTA(F13:G13)=0,"",9992+ROW())</f>
        <v>10005</v>
      </c>
      <c r="C13" s="110">
        <v>45905</v>
      </c>
      <c r="D13" t="s" s="84">
        <v>108</v>
      </c>
      <c r="E13" t="s" s="84">
        <v>109</v>
      </c>
      <c r="F13" s="111">
        <v>3640</v>
      </c>
      <c r="G13" s="111">
        <v>1660</v>
      </c>
      <c r="H13" s="111">
        <v>140</v>
      </c>
      <c r="I13" s="112" cm="1">
        <f t="array" ref="I13">_xlfn.IFERROR((F13-G13-H13),"")</f>
        <v>1840</v>
      </c>
      <c r="J13" t="s" s="84">
        <v>82</v>
      </c>
      <c r="K13" t="s" s="84">
        <v>152</v>
      </c>
      <c r="L13" s="111">
        <v>23</v>
      </c>
      <c r="M13" s="113">
        <v>0.95</v>
      </c>
      <c r="N13" s="111" cm="1">
        <f t="array" ref="N13">_xlfn.IFERROR((IF(IF(J13="Yes",((I13-(I13*0.15%))*M13),(I13*M13))=0,"",IF(J13="Yes",((I13-(I13*0.15%))*M13),(I13*M13)))-L13),"")</f>
        <v>1722.378</v>
      </c>
      <c r="O13" s="101"/>
      <c r="P13" s="57"/>
      <c r="Q13" t="s" s="84">
        <v>153</v>
      </c>
      <c r="R13" t="s" s="84">
        <v>154</v>
      </c>
      <c r="S13" t="s" s="84">
        <v>155</v>
      </c>
      <c r="T13" t="s" s="114">
        <v>99</v>
      </c>
      <c r="U13" t="s" s="115">
        <v>156</v>
      </c>
      <c r="V13" t="s" s="84">
        <v>132</v>
      </c>
      <c r="W13" s="116"/>
      <c r="X13" s="62"/>
      <c r="Y13" t="s" s="84">
        <v>157</v>
      </c>
      <c r="Z13" t="s" s="84">
        <v>158</v>
      </c>
      <c r="AA13" t="s" s="84">
        <v>159</v>
      </c>
      <c r="AB13" t="s" s="84">
        <v>160</v>
      </c>
      <c r="AC13" t="s" s="84">
        <v>161</v>
      </c>
      <c r="AD13" t="s" s="84">
        <v>162</v>
      </c>
      <c r="AE13" s="117"/>
      <c r="AF13" s="48"/>
      <c r="AG13" s="48"/>
      <c r="AH13" s="48"/>
      <c r="AI13" s="48"/>
      <c r="AJ13" s="48"/>
      <c r="AK13" s="49"/>
    </row>
    <row r="14" ht="96" customHeight="1">
      <c r="A14" s="71"/>
      <c r="B14" s="109" cm="1">
        <f t="array" ref="B14">IF(COUNTA(F14:G14)=0,"",9992+ROW())</f>
        <v>10006</v>
      </c>
      <c r="C14" s="110">
        <v>45900</v>
      </c>
      <c r="D14" t="s" s="84">
        <v>124</v>
      </c>
      <c r="E14" t="s" s="84">
        <v>125</v>
      </c>
      <c r="F14" s="111">
        <v>3615</v>
      </c>
      <c r="G14" s="111">
        <v>1610</v>
      </c>
      <c r="H14" s="111">
        <v>75</v>
      </c>
      <c r="I14" s="112" cm="1">
        <f t="array" ref="I14">_xlfn.IFERROR((F14-G14-H14),"")</f>
        <v>1930</v>
      </c>
      <c r="J14" t="s" s="84">
        <v>82</v>
      </c>
      <c r="K14" t="s" s="84">
        <v>95</v>
      </c>
      <c r="L14" s="111">
        <v>115</v>
      </c>
      <c r="M14" s="113">
        <v>0.45</v>
      </c>
      <c r="N14" s="111" cm="1">
        <f t="array" ref="N14">_xlfn.IFERROR((IF(IF(J14="Yes",((I14-(I14*0.15%))*M14),(I14*M14))=0,"",IF(J14="Yes",((I14-(I14*0.15%))*M14),(I14*M14)))-L14),"")</f>
        <v>752.1972500000001</v>
      </c>
      <c r="O14" s="101"/>
      <c r="P14" s="57"/>
      <c r="Q14" t="s" s="84">
        <v>163</v>
      </c>
      <c r="R14" t="s" s="84">
        <v>164</v>
      </c>
      <c r="S14" t="s" s="84">
        <v>165</v>
      </c>
      <c r="T14" t="s" s="114">
        <v>145</v>
      </c>
      <c r="U14" t="s" s="115">
        <v>166</v>
      </c>
      <c r="V14" t="s" s="84">
        <v>146</v>
      </c>
      <c r="W14" s="116"/>
      <c r="X14" s="62"/>
      <c r="Y14" t="s" s="84">
        <v>167</v>
      </c>
      <c r="Z14" t="s" s="84">
        <v>168</v>
      </c>
      <c r="AA14" t="s" s="84">
        <v>169</v>
      </c>
      <c r="AB14" t="s" s="84">
        <v>170</v>
      </c>
      <c r="AC14" t="s" s="84">
        <v>171</v>
      </c>
      <c r="AD14" t="s" s="84">
        <v>172</v>
      </c>
      <c r="AE14" s="117"/>
      <c r="AF14" s="48"/>
      <c r="AG14" s="48"/>
      <c r="AH14" s="48"/>
      <c r="AI14" s="48"/>
      <c r="AJ14" s="48"/>
      <c r="AK14" s="49"/>
    </row>
    <row r="15" ht="96" customHeight="1">
      <c r="A15" s="71"/>
      <c r="B15" s="109" cm="1">
        <f t="array" ref="B15">IF(COUNTA(F15:G15)=0,"",9992+ROW())</f>
        <v>10007</v>
      </c>
      <c r="C15" s="110">
        <v>45872</v>
      </c>
      <c r="D15" t="s" s="84">
        <v>173</v>
      </c>
      <c r="E15" t="s" s="84">
        <v>174</v>
      </c>
      <c r="F15" s="111">
        <v>10100</v>
      </c>
      <c r="G15" s="111">
        <v>5300</v>
      </c>
      <c r="H15" s="111">
        <v>525</v>
      </c>
      <c r="I15" s="112" cm="1">
        <f t="array" ref="I15">_xlfn.IFERROR((F15-G15-H15),"")</f>
        <v>4275</v>
      </c>
      <c r="J15" t="s" s="84">
        <v>110</v>
      </c>
      <c r="K15" t="s" s="84">
        <v>111</v>
      </c>
      <c r="L15" s="111">
        <v>120</v>
      </c>
      <c r="M15" s="113">
        <v>0.5</v>
      </c>
      <c r="N15" s="111" cm="1">
        <f t="array" ref="N15">_xlfn.IFERROR((IF(IF(J15="Yes",((I15-(I15*0.15%))*M15),(I15*M15))=0,"",IF(J15="Yes",((I15-(I15*0.15%))*M15),(I15*M15)))-L15),"")</f>
        <v>2017.5</v>
      </c>
      <c r="O15" s="101"/>
      <c r="P15" s="57"/>
      <c r="Q15" t="s" s="84">
        <v>104</v>
      </c>
      <c r="R15" t="s" s="84">
        <v>175</v>
      </c>
      <c r="S15" t="s" s="84">
        <v>176</v>
      </c>
      <c r="T15" t="s" s="114">
        <v>145</v>
      </c>
      <c r="U15" t="s" s="115">
        <v>177</v>
      </c>
      <c r="V15" t="s" s="84">
        <v>117</v>
      </c>
      <c r="W15" s="116"/>
      <c r="X15" s="62"/>
      <c r="Y15" t="s" s="84">
        <v>178</v>
      </c>
      <c r="Z15" t="s" s="84">
        <v>179</v>
      </c>
      <c r="AA15" t="s" s="84">
        <v>180</v>
      </c>
      <c r="AB15" t="s" s="84">
        <v>181</v>
      </c>
      <c r="AC15" t="s" s="84">
        <v>182</v>
      </c>
      <c r="AD15" t="s" s="84">
        <v>162</v>
      </c>
      <c r="AE15" s="117"/>
      <c r="AF15" s="48"/>
      <c r="AG15" s="48"/>
      <c r="AH15" s="48"/>
      <c r="AI15" s="48"/>
      <c r="AJ15" s="48"/>
      <c r="AK15" s="49"/>
    </row>
    <row r="16" ht="96" customHeight="1">
      <c r="A16" s="71"/>
      <c r="B16" s="109" cm="1">
        <f t="array" ref="B16">IF(COUNTA(F16:G16)=0,"",9992+ROW())</f>
        <v>10008</v>
      </c>
      <c r="C16" s="110">
        <v>45905</v>
      </c>
      <c r="D16" t="s" s="84">
        <v>108</v>
      </c>
      <c r="E16" t="s" s="84">
        <v>109</v>
      </c>
      <c r="F16" s="111">
        <v>3640</v>
      </c>
      <c r="G16" s="111">
        <v>1660</v>
      </c>
      <c r="H16" s="111">
        <v>140</v>
      </c>
      <c r="I16" s="112" cm="1">
        <f t="array" ref="I16">_xlfn.IFERROR((F16-G16-H16),"")</f>
        <v>1840</v>
      </c>
      <c r="J16" t="s" s="84">
        <v>110</v>
      </c>
      <c r="K16" t="s" s="84">
        <v>126</v>
      </c>
      <c r="L16" s="111">
        <v>125</v>
      </c>
      <c r="M16" s="113">
        <v>0.75</v>
      </c>
      <c r="N16" s="111" cm="1">
        <f t="array" ref="N16">_xlfn.IFERROR((IF(IF(J16="Yes",((I16-(I16*0.15%))*M16),(I16*M16))=0,"",IF(J16="Yes",((I16-(I16*0.15%))*M16),(I16*M16)))-L16),"")</f>
        <v>1255</v>
      </c>
      <c r="O16" s="101"/>
      <c r="P16" s="57"/>
      <c r="Q16" t="s" s="84">
        <v>183</v>
      </c>
      <c r="R16" t="s" s="84">
        <v>184</v>
      </c>
      <c r="S16" t="s" s="84">
        <v>185</v>
      </c>
      <c r="T16" t="s" s="114">
        <v>186</v>
      </c>
      <c r="U16" t="s" s="115">
        <v>187</v>
      </c>
      <c r="V16" t="s" s="84">
        <v>101</v>
      </c>
      <c r="W16" s="116"/>
      <c r="X16" s="62"/>
      <c r="Y16" t="s" s="84">
        <v>188</v>
      </c>
      <c r="Z16" t="s" s="84">
        <v>189</v>
      </c>
      <c r="AA16" t="s" s="84">
        <v>190</v>
      </c>
      <c r="AB16" t="s" s="84">
        <v>191</v>
      </c>
      <c r="AC16" t="s" s="84">
        <v>192</v>
      </c>
      <c r="AD16" t="s" s="84">
        <v>172</v>
      </c>
      <c r="AE16" s="117"/>
      <c r="AF16" s="48"/>
      <c r="AG16" s="48"/>
      <c r="AH16" s="48"/>
      <c r="AI16" s="48"/>
      <c r="AJ16" s="48"/>
      <c r="AK16" s="49"/>
    </row>
    <row r="17" ht="96" customHeight="1">
      <c r="A17" s="71"/>
      <c r="B17" s="109" cm="1">
        <f t="array" ref="B17">IF(COUNTA(F17:G17)=0,"",9992+ROW())</f>
        <v>10009</v>
      </c>
      <c r="C17" s="110">
        <v>45900</v>
      </c>
      <c r="D17" t="s" s="84">
        <v>124</v>
      </c>
      <c r="E17" t="s" s="84">
        <v>125</v>
      </c>
      <c r="F17" s="111">
        <v>3615</v>
      </c>
      <c r="G17" s="111">
        <v>1610</v>
      </c>
      <c r="H17" s="111">
        <v>75</v>
      </c>
      <c r="I17" s="112" cm="1">
        <f t="array" ref="I17">_xlfn.IFERROR((F17-G17-H17),"")</f>
        <v>1930</v>
      </c>
      <c r="J17" t="s" s="84">
        <v>82</v>
      </c>
      <c r="K17" t="s" s="84">
        <v>141</v>
      </c>
      <c r="L17" s="111">
        <v>25</v>
      </c>
      <c r="M17" s="113">
        <v>0.8</v>
      </c>
      <c r="N17" s="111" cm="1">
        <f t="array" ref="N17">_xlfn.IFERROR((IF(IF(J17="Yes",((I17-(I17*0.15%))*M17),(I17*M17))=0,"",IF(J17="Yes",((I17-(I17*0.15%))*M17),(I17*M17)))-L17),"")</f>
        <v>1516.684</v>
      </c>
      <c r="O17" s="101"/>
      <c r="P17" s="57"/>
      <c r="Q17" t="s" s="84">
        <v>193</v>
      </c>
      <c r="R17" t="s" s="84">
        <v>194</v>
      </c>
      <c r="S17" t="s" s="84">
        <v>195</v>
      </c>
      <c r="T17" t="s" s="114">
        <v>196</v>
      </c>
      <c r="U17" t="s" s="115">
        <v>197</v>
      </c>
      <c r="V17" t="s" s="84">
        <v>117</v>
      </c>
      <c r="W17" s="116"/>
      <c r="X17" s="62"/>
      <c r="Y17" t="s" s="84">
        <v>198</v>
      </c>
      <c r="Z17" t="s" s="84">
        <v>199</v>
      </c>
      <c r="AA17" t="s" s="84">
        <v>200</v>
      </c>
      <c r="AB17" t="s" s="84">
        <v>201</v>
      </c>
      <c r="AC17" t="s" s="84">
        <v>202</v>
      </c>
      <c r="AD17" t="s" s="84">
        <v>107</v>
      </c>
      <c r="AE17" s="117"/>
      <c r="AF17" s="48"/>
      <c r="AG17" s="48"/>
      <c r="AH17" s="48"/>
      <c r="AI17" s="48"/>
      <c r="AJ17" s="48"/>
      <c r="AK17" s="49"/>
    </row>
    <row r="18" ht="96" customHeight="1">
      <c r="A18" s="71"/>
      <c r="B18" s="109" cm="1">
        <f t="array" ref="B18">IF(COUNTA(F18:G18)=0,"",9992+ROW())</f>
        <v>10010</v>
      </c>
      <c r="C18" s="110">
        <v>45873</v>
      </c>
      <c r="D18" t="s" s="84">
        <v>203</v>
      </c>
      <c r="E18" t="s" s="84">
        <v>204</v>
      </c>
      <c r="F18" s="111">
        <v>10150</v>
      </c>
      <c r="G18" s="111">
        <v>5450</v>
      </c>
      <c r="H18" s="111">
        <v>535</v>
      </c>
      <c r="I18" s="112" cm="1">
        <f t="array" ref="I18">_xlfn.IFERROR((F18-G18-H18),"")</f>
        <v>4165</v>
      </c>
      <c r="J18" t="s" s="84">
        <v>110</v>
      </c>
      <c r="K18" t="s" s="84">
        <v>152</v>
      </c>
      <c r="L18" s="111">
        <v>115</v>
      </c>
      <c r="M18" s="113">
        <v>0.85</v>
      </c>
      <c r="N18" s="111" cm="1">
        <f t="array" ref="N18">_xlfn.IFERROR((IF(IF(J18="Yes",((I18-(I18*0.15%))*M18),(I18*M18))=0,"",IF(J18="Yes",((I18-(I18*0.15%))*M18),(I18*M18)))-L18),"")</f>
        <v>3425.25</v>
      </c>
      <c r="O18" s="101"/>
      <c r="P18" s="57"/>
      <c r="Q18" t="s" s="84">
        <v>205</v>
      </c>
      <c r="R18" t="s" s="84">
        <v>206</v>
      </c>
      <c r="S18" t="s" s="84">
        <v>207</v>
      </c>
      <c r="T18" t="s" s="114">
        <v>208</v>
      </c>
      <c r="U18" t="s" s="115">
        <v>177</v>
      </c>
      <c r="V18" t="s" s="84">
        <v>101</v>
      </c>
      <c r="W18" s="116"/>
      <c r="X18" s="62"/>
      <c r="Y18" t="s" s="84">
        <v>209</v>
      </c>
      <c r="Z18" t="s" s="84">
        <v>210</v>
      </c>
      <c r="AA18" t="s" s="84">
        <v>211</v>
      </c>
      <c r="AB18" t="s" s="84">
        <v>212</v>
      </c>
      <c r="AC18" t="s" s="84">
        <v>213</v>
      </c>
      <c r="AD18" t="s" s="84">
        <v>123</v>
      </c>
      <c r="AE18" s="117"/>
      <c r="AF18" s="48"/>
      <c r="AG18" s="48"/>
      <c r="AH18" s="48"/>
      <c r="AI18" s="48"/>
      <c r="AJ18" s="48"/>
      <c r="AK18" s="49"/>
    </row>
    <row r="19" ht="96" customHeight="1">
      <c r="A19" s="71"/>
      <c r="B19" s="109" cm="1">
        <f t="array" ref="B19">IF(COUNTA(F19:G19)=0,"",9992+ROW())</f>
        <v>10011</v>
      </c>
      <c r="C19" s="110">
        <v>45905</v>
      </c>
      <c r="D19" t="s" s="84">
        <v>108</v>
      </c>
      <c r="E19" t="s" s="84">
        <v>109</v>
      </c>
      <c r="F19" s="111">
        <v>3640</v>
      </c>
      <c r="G19" s="111">
        <v>1660</v>
      </c>
      <c r="H19" s="111">
        <v>140</v>
      </c>
      <c r="I19" s="112" cm="1">
        <f t="array" ref="I19">_xlfn.IFERROR((F19-G19-H19),"")</f>
        <v>1840</v>
      </c>
      <c r="J19" t="s" s="84">
        <v>82</v>
      </c>
      <c r="K19" t="s" s="84">
        <v>95</v>
      </c>
      <c r="L19" s="111">
        <v>120</v>
      </c>
      <c r="M19" s="113">
        <v>0.9</v>
      </c>
      <c r="N19" s="111" cm="1">
        <f t="array" ref="N19">_xlfn.IFERROR((IF(IF(J19="Yes",((I19-(I19*0.15%))*M19),(I19*M19))=0,"",IF(J19="Yes",((I19-(I19*0.15%))*M19),(I19*M19)))-L19),"")</f>
        <v>1533.516</v>
      </c>
      <c r="O19" s="101"/>
      <c r="P19" s="57"/>
      <c r="Q19" t="s" s="84">
        <v>120</v>
      </c>
      <c r="R19" t="s" s="84">
        <v>214</v>
      </c>
      <c r="S19" t="s" s="84">
        <v>215</v>
      </c>
      <c r="T19" t="s" s="114">
        <v>115</v>
      </c>
      <c r="U19" t="s" s="115">
        <v>187</v>
      </c>
      <c r="V19" t="s" s="84">
        <v>146</v>
      </c>
      <c r="W19" s="116"/>
      <c r="X19" s="62"/>
      <c r="Y19" t="s" s="84">
        <v>216</v>
      </c>
      <c r="Z19" t="s" s="84">
        <v>217</v>
      </c>
      <c r="AA19" t="s" s="84">
        <v>218</v>
      </c>
      <c r="AB19" t="s" s="84">
        <v>219</v>
      </c>
      <c r="AC19" t="s" s="84">
        <v>220</v>
      </c>
      <c r="AD19" s="118"/>
      <c r="AE19" s="117"/>
      <c r="AF19" s="48"/>
      <c r="AG19" s="48"/>
      <c r="AH19" s="48"/>
      <c r="AI19" s="48"/>
      <c r="AJ19" s="48"/>
      <c r="AK19" s="49"/>
    </row>
    <row r="20" ht="96" customHeight="1">
      <c r="A20" s="71"/>
      <c r="B20" s="109" cm="1">
        <f t="array" ref="B20">IF(COUNTA(F20:G20)=0,"",9992+ROW())</f>
        <v>10012</v>
      </c>
      <c r="C20" s="110">
        <v>45900</v>
      </c>
      <c r="D20" t="s" s="84">
        <v>124</v>
      </c>
      <c r="E20" t="s" s="84">
        <v>125</v>
      </c>
      <c r="F20" s="111">
        <v>3615</v>
      </c>
      <c r="G20" s="111">
        <v>1610</v>
      </c>
      <c r="H20" s="111">
        <v>75</v>
      </c>
      <c r="I20" s="112" cm="1">
        <f t="array" ref="I20">_xlfn.IFERROR((F20-G20-H20),"")</f>
        <v>1930</v>
      </c>
      <c r="J20" t="s" s="84">
        <v>82</v>
      </c>
      <c r="K20" t="s" s="84">
        <v>111</v>
      </c>
      <c r="L20" s="111">
        <v>125</v>
      </c>
      <c r="M20" s="113">
        <v>0.95</v>
      </c>
      <c r="N20" s="111" cm="1">
        <f t="array" ref="N20">_xlfn.IFERROR((IF(IF(J20="Yes",((I20-(I20*0.15%))*M20),(I20*M20))=0,"",IF(J20="Yes",((I20-(I20*0.15%))*M20),(I20*M20)))-L20),"")</f>
        <v>1705.74975</v>
      </c>
      <c r="O20" s="101"/>
      <c r="P20" s="57"/>
      <c r="Q20" t="s" s="84">
        <v>221</v>
      </c>
      <c r="R20" t="s" s="84">
        <v>222</v>
      </c>
      <c r="S20" t="s" s="84">
        <v>223</v>
      </c>
      <c r="T20" t="s" s="114">
        <v>130</v>
      </c>
      <c r="U20" t="s" s="115">
        <v>197</v>
      </c>
      <c r="V20" t="s" s="84">
        <v>132</v>
      </c>
      <c r="W20" s="116"/>
      <c r="X20" s="62"/>
      <c r="Y20" t="s" s="84">
        <v>224</v>
      </c>
      <c r="Z20" t="s" s="84">
        <v>225</v>
      </c>
      <c r="AA20" t="s" s="84">
        <v>226</v>
      </c>
      <c r="AB20" t="s" s="84">
        <v>227</v>
      </c>
      <c r="AC20" t="s" s="84">
        <v>228</v>
      </c>
      <c r="AD20" s="118"/>
      <c r="AE20" s="117"/>
      <c r="AF20" s="48"/>
      <c r="AG20" s="48"/>
      <c r="AH20" s="48"/>
      <c r="AI20" s="48"/>
      <c r="AJ20" s="48"/>
      <c r="AK20" s="49"/>
    </row>
    <row r="21" ht="96" customHeight="1">
      <c r="A21" s="71"/>
      <c r="B21" s="109" cm="1">
        <f t="array" ref="B21">IF(COUNTA(F21:G21)=0,"",9992+ROW())</f>
        <v>10013</v>
      </c>
      <c r="C21" s="110">
        <v>45879</v>
      </c>
      <c r="D21" t="s" s="84">
        <v>229</v>
      </c>
      <c r="E21" t="s" s="84">
        <v>125</v>
      </c>
      <c r="F21" s="111">
        <v>3510</v>
      </c>
      <c r="G21" s="111">
        <v>1400</v>
      </c>
      <c r="H21" s="111">
        <v>25</v>
      </c>
      <c r="I21" s="112" cm="1">
        <f t="array" ref="I21">_xlfn.IFERROR((F21-G21-H21),"")</f>
        <v>2085</v>
      </c>
      <c r="J21" t="s" s="84">
        <v>110</v>
      </c>
      <c r="K21" t="s" s="84">
        <v>126</v>
      </c>
      <c r="L21" s="111">
        <v>27</v>
      </c>
      <c r="M21" s="113">
        <v>0.45</v>
      </c>
      <c r="N21" s="111" cm="1">
        <f t="array" ref="N21">_xlfn.IFERROR((IF(IF(J21="Yes",((I21-(I21*0.15%))*M21),(I21*M21))=0,"",IF(J21="Yes",((I21-(I21*0.15%))*M21),(I21*M21)))-L21),"")</f>
        <v>911.25</v>
      </c>
      <c r="O21" s="101"/>
      <c r="P21" s="57"/>
      <c r="Q21" t="s" s="84">
        <v>135</v>
      </c>
      <c r="R21" t="s" s="84">
        <v>230</v>
      </c>
      <c r="S21" t="s" s="84">
        <v>231</v>
      </c>
      <c r="T21" t="s" s="114">
        <v>232</v>
      </c>
      <c r="U21" t="s" s="115">
        <v>233</v>
      </c>
      <c r="V21" t="s" s="84">
        <v>146</v>
      </c>
      <c r="W21" s="116"/>
      <c r="X21" s="62"/>
      <c r="Y21" t="s" s="84">
        <v>234</v>
      </c>
      <c r="Z21" t="s" s="84">
        <v>235</v>
      </c>
      <c r="AA21" t="s" s="84">
        <v>236</v>
      </c>
      <c r="AB21" t="s" s="84">
        <v>237</v>
      </c>
      <c r="AC21" t="s" s="84">
        <v>238</v>
      </c>
      <c r="AD21" t="s" s="84">
        <v>138</v>
      </c>
      <c r="AE21" s="117"/>
      <c r="AF21" s="48"/>
      <c r="AG21" s="48"/>
      <c r="AH21" s="48"/>
      <c r="AI21" s="48"/>
      <c r="AJ21" s="48"/>
      <c r="AK21" s="49"/>
    </row>
    <row r="22" ht="96" customHeight="1">
      <c r="A22" s="71"/>
      <c r="B22" s="109" cm="1">
        <f t="array" ref="B22">IF(COUNTA(F22:G22)=0,"",9992+ROW())</f>
        <v>10014</v>
      </c>
      <c r="C22" s="110">
        <v>45880</v>
      </c>
      <c r="D22" t="s" s="84">
        <v>173</v>
      </c>
      <c r="E22" t="s" s="84">
        <v>239</v>
      </c>
      <c r="F22" s="111">
        <v>3515</v>
      </c>
      <c r="G22" s="111">
        <v>1410</v>
      </c>
      <c r="H22" s="111">
        <v>20</v>
      </c>
      <c r="I22" s="112" cm="1">
        <f t="array" ref="I22">_xlfn.IFERROR((F22-G22-H22),"")</f>
        <v>2085</v>
      </c>
      <c r="J22" t="s" s="84">
        <v>110</v>
      </c>
      <c r="K22" t="s" s="84">
        <v>141</v>
      </c>
      <c r="L22" s="111">
        <v>115</v>
      </c>
      <c r="M22" s="113">
        <v>0.5</v>
      </c>
      <c r="N22" s="111" cm="1">
        <f t="array" ref="N22">_xlfn.IFERROR((IF(IF(J22="Yes",((I22-(I22*0.15%))*M22),(I22*M22))=0,"",IF(J22="Yes",((I22-(I22*0.15%))*M22),(I22*M22)))-L22),"")</f>
        <v>927.5</v>
      </c>
      <c r="O22" s="101"/>
      <c r="P22" s="57"/>
      <c r="Q22" t="s" s="84">
        <v>240</v>
      </c>
      <c r="R22" t="s" s="84">
        <v>241</v>
      </c>
      <c r="S22" t="s" s="84">
        <v>242</v>
      </c>
      <c r="T22" t="s" s="114">
        <v>186</v>
      </c>
      <c r="U22" t="s" s="115">
        <v>243</v>
      </c>
      <c r="V22" t="s" s="84">
        <v>101</v>
      </c>
      <c r="W22" s="116"/>
      <c r="X22" s="62"/>
      <c r="Y22" t="s" s="84">
        <v>244</v>
      </c>
      <c r="Z22" t="s" s="84">
        <v>245</v>
      </c>
      <c r="AA22" t="s" s="84">
        <v>246</v>
      </c>
      <c r="AB22" t="s" s="84">
        <v>247</v>
      </c>
      <c r="AC22" t="s" s="84">
        <v>248</v>
      </c>
      <c r="AD22" t="s" s="84">
        <v>162</v>
      </c>
      <c r="AE22" s="117"/>
      <c r="AF22" s="48"/>
      <c r="AG22" s="48"/>
      <c r="AH22" s="48"/>
      <c r="AI22" s="48"/>
      <c r="AJ22" s="48"/>
      <c r="AK22" s="49"/>
    </row>
    <row r="23" ht="96" customHeight="1">
      <c r="A23" s="71"/>
      <c r="B23" s="109" cm="1">
        <f t="array" ref="B23">IF(COUNTA(F23:G23)=0,"",9992+ROW())</f>
        <v>10015</v>
      </c>
      <c r="C23" s="110">
        <v>45881</v>
      </c>
      <c r="D23" t="s" s="84">
        <v>249</v>
      </c>
      <c r="E23" t="s" s="84">
        <v>250</v>
      </c>
      <c r="F23" s="111">
        <v>3520</v>
      </c>
      <c r="G23" s="111">
        <v>1420</v>
      </c>
      <c r="H23" s="111">
        <v>15</v>
      </c>
      <c r="I23" s="112" cm="1">
        <f t="array" ref="I23">_xlfn.IFERROR((F23-G23-H23),"")</f>
        <v>2085</v>
      </c>
      <c r="J23" t="s" s="84">
        <v>82</v>
      </c>
      <c r="K23" t="s" s="84">
        <v>152</v>
      </c>
      <c r="L23" s="111">
        <v>120</v>
      </c>
      <c r="M23" s="113">
        <v>0.75</v>
      </c>
      <c r="N23" s="111" cm="1">
        <f t="array" ref="N23">_xlfn.IFERROR((IF(IF(J23="Yes",((I23-(I23*0.15%))*M23),(I23*M23))=0,"",IF(J23="Yes",((I23-(I23*0.15%))*M23),(I23*M23)))-L23),"")</f>
        <v>1441.404375</v>
      </c>
      <c r="O23" s="101"/>
      <c r="P23" s="57"/>
      <c r="Q23" t="s" s="84">
        <v>251</v>
      </c>
      <c r="R23" t="s" s="84">
        <v>252</v>
      </c>
      <c r="S23" t="s" s="84">
        <v>253</v>
      </c>
      <c r="T23" t="s" s="114">
        <v>196</v>
      </c>
      <c r="U23" t="s" s="115">
        <v>243</v>
      </c>
      <c r="V23" t="s" s="84">
        <v>132</v>
      </c>
      <c r="W23" s="116"/>
      <c r="X23" s="62"/>
      <c r="Y23" t="s" s="84">
        <v>254</v>
      </c>
      <c r="Z23" t="s" s="84">
        <v>255</v>
      </c>
      <c r="AA23" t="s" s="84">
        <v>256</v>
      </c>
      <c r="AB23" t="s" s="84">
        <v>257</v>
      </c>
      <c r="AC23" t="s" s="84">
        <v>258</v>
      </c>
      <c r="AD23" t="s" s="84">
        <v>162</v>
      </c>
      <c r="AE23" s="117"/>
      <c r="AF23" s="48"/>
      <c r="AG23" s="48"/>
      <c r="AH23" s="48"/>
      <c r="AI23" s="48"/>
      <c r="AJ23" s="48"/>
      <c r="AK23" s="49"/>
    </row>
    <row r="24" ht="96" customHeight="1">
      <c r="A24" s="119"/>
      <c r="B24" s="109" cm="1">
        <f t="array" ref="B24">IF(COUNTA(F24:G24)=0,"",9992+ROW())</f>
        <v>10016</v>
      </c>
      <c r="C24" s="110">
        <v>45882</v>
      </c>
      <c r="D24" t="s" s="84">
        <v>259</v>
      </c>
      <c r="E24" t="s" s="84">
        <v>260</v>
      </c>
      <c r="F24" s="111">
        <v>3525</v>
      </c>
      <c r="G24" s="111">
        <v>1430</v>
      </c>
      <c r="H24" s="111">
        <v>10</v>
      </c>
      <c r="I24" s="112" cm="1">
        <f t="array" ref="I24">_xlfn.IFERROR((F24-G24-H24),"")</f>
        <v>2085</v>
      </c>
      <c r="J24" t="s" s="84">
        <v>82</v>
      </c>
      <c r="K24" t="s" s="84">
        <v>95</v>
      </c>
      <c r="L24" s="111">
        <v>125</v>
      </c>
      <c r="M24" s="113">
        <v>0.8</v>
      </c>
      <c r="N24" s="111" cm="1">
        <f t="array" ref="N24">_xlfn.IFERROR((IF(IF(J24="Yes",((I24-(I24*0.15%))*M24),(I24*M24))=0,"",IF(J24="Yes",((I24-(I24*0.15%))*M24),(I24*M24)))-L24),"")</f>
        <v>1540.498</v>
      </c>
      <c r="O24" s="120"/>
      <c r="P24" s="121"/>
      <c r="Q24" t="s" s="84">
        <v>261</v>
      </c>
      <c r="R24" t="s" s="84">
        <v>262</v>
      </c>
      <c r="S24" t="s" s="84">
        <v>263</v>
      </c>
      <c r="T24" t="s" s="114">
        <v>264</v>
      </c>
      <c r="U24" t="s" s="115">
        <v>265</v>
      </c>
      <c r="V24" t="s" s="84">
        <v>132</v>
      </c>
      <c r="W24" s="116"/>
      <c r="X24" s="122"/>
      <c r="Y24" t="s" s="84">
        <v>266</v>
      </c>
      <c r="Z24" t="s" s="84">
        <v>267</v>
      </c>
      <c r="AA24" t="s" s="84">
        <v>268</v>
      </c>
      <c r="AB24" t="s" s="84">
        <v>269</v>
      </c>
      <c r="AC24" t="s" s="84">
        <v>270</v>
      </c>
      <c r="AD24" t="s" s="84">
        <v>123</v>
      </c>
      <c r="AE24" s="117"/>
      <c r="AF24" s="48"/>
      <c r="AG24" s="48"/>
      <c r="AH24" s="48"/>
      <c r="AI24" s="48"/>
      <c r="AJ24" s="48"/>
      <c r="AK24" s="49"/>
    </row>
  </sheetData>
  <mergeCells count="6">
    <mergeCell ref="B3:C3"/>
    <mergeCell ref="Q3:R3"/>
    <mergeCell ref="Y3:Z3"/>
    <mergeCell ref="B4:D4"/>
    <mergeCell ref="Q4:S4"/>
    <mergeCell ref="Y4:AC4"/>
  </mergeCells>
  <dataValidations count="17">
    <dataValidation type="list" allowBlank="1" showInputMessage="1" showErrorMessage="1" sqref="D8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J8:J24">
      <formula1>"Choose option,Yes,No"</formula1>
    </dataValidation>
    <dataValidation type="list" allowBlank="1" showInputMessage="1" showErrorMessage="1" sqref="K8">
      <formula1>"Choose option,National protocols%,AAIG%,S&amp;I plan agreed site-specific protocols%,S&amp;I plan agreed methodology%,Actual weight%"</formula1>
    </dataValidation>
    <dataValidation type="list" allowBlank="1" showInputMessage="1" showErrorMessage="1" sqref="D9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K9 K14 K19 K24">
      <formula1>"Choose option,National protocols%,AAIG%,S&amp;I plan agreed site-specific protocols%,S&amp;I plan agreed methodology%,Actual weight%,AAIG"</formula1>
    </dataValidation>
    <dataValidation type="list" allowBlank="1" showInputMessage="1" showErrorMessage="1" sqref="D10 D13 D16 D19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K10 K15 K20">
      <formula1>"Choose option,National protocols%,AAIG%,S&amp;I plan agreed site-specific protocols%,S&amp;I plan agreed methodology%,Actual weight%,National protocol %"</formula1>
    </dataValidation>
    <dataValidation type="list" allowBlank="1" showInputMessage="1" showErrorMessage="1" sqref="D11 D14 D17 D20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K11 K16 K21">
      <formula1>"Choose option,National protocols%,AAIG%,S&amp;I plan agreed site-specific protocols%,S&amp;I plan agreed methodology%,Actual weight%,S&amp;I plan agreed Site Specific Protocol %"</formula1>
    </dataValidation>
    <dataValidation type="list" allowBlank="1" showInputMessage="1" showErrorMessage="1" sqref="D12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K12 K17 K22">
      <formula1>"Choose option,National protocols%,AAIG%,S&amp;I plan agreed site-specific protocols%,S&amp;I plan agreed methodology%,Actual weight%,S&amp;I plan agreed methodology"</formula1>
    </dataValidation>
    <dataValidation type="list" allowBlank="1" showInputMessage="1" showErrorMessage="1" sqref="K13 K18 K23">
      <formula1>"Choose option,National protocols%,AAIG%,S&amp;I plan agreed site-specific protocols%,S&amp;I plan agreed methodology%,Actual weight%,Actual weight (100%)"</formula1>
    </dataValidation>
    <dataValidation type="list" allowBlank="1" showInputMessage="1" showErrorMessage="1" sqref="D15 D22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D18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D21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D23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D24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</dataValidations>
  <hyperlinks>
    <hyperlink ref="AD2" location="'Received (sections 1, 2, 3)'!R1C1" tooltip="" display="&lt; Go to section1"/>
    <hyperlink ref="U3" location="'Received (sections 1, 2, 3)'!R1C1" tooltip="" display="&lt; Go to section 1"/>
    <hyperlink ref="AD3" location="'Received (sections 1, 2, 3)'!R1C1" tooltip="" display="&lt; Go to section2"/>
    <hyperlink ref="F4" location="'Received (sections 1, 2, 3)'!R1C1" tooltip="" display="Go to section 2 &gt;"/>
    <hyperlink ref="U4" location="'Received (sections 1, 2, 3)'!R1C1" tooltip="" display="Go to section 3 &gt;"/>
    <hyperlink ref="T8" r:id="rId1" location="" tooltip="" display="jbr@bt.co.uk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M24"/>
  <sheetViews>
    <sheetView workbookViewId="0" showGridLines="0" defaultGridColor="1"/>
  </sheetViews>
  <sheetFormatPr defaultColWidth="40.8333" defaultRowHeight="96" customHeight="1" outlineLevelRow="0" outlineLevelCol="0"/>
  <cols>
    <col min="1" max="1" width="12.8516" style="123" customWidth="1"/>
    <col min="2" max="12" width="40.8516" style="123" customWidth="1"/>
    <col min="13" max="13" width="12.8516" style="123" customWidth="1"/>
    <col min="14" max="16384" width="40.8516" style="123" customWidth="1"/>
  </cols>
  <sheetData>
    <row r="1" ht="56.1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ht="56.1" customHeight="1">
      <c r="A2" s="6"/>
      <c r="B2" s="124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ht="56.1" customHeight="1">
      <c r="A3" s="6"/>
      <c r="B3" t="s" s="40">
        <v>271</v>
      </c>
      <c r="C3" s="42"/>
      <c r="D3" s="42"/>
      <c r="E3" s="9"/>
      <c r="F3" s="9"/>
      <c r="G3" s="9"/>
      <c r="H3" s="9"/>
      <c r="I3" s="9"/>
      <c r="J3" s="9"/>
      <c r="K3" s="9"/>
      <c r="L3" s="9"/>
      <c r="M3" s="10"/>
    </row>
    <row r="4" ht="56.1" customHeight="1">
      <c r="A4" s="50"/>
      <c r="B4" t="s" s="125">
        <v>272</v>
      </c>
      <c r="C4" s="126"/>
      <c r="D4" s="127"/>
      <c r="E4" s="54"/>
      <c r="F4" s="56"/>
      <c r="G4" s="56"/>
      <c r="H4" s="56"/>
      <c r="I4" s="56"/>
      <c r="J4" s="56"/>
      <c r="K4" s="56"/>
      <c r="L4" s="56"/>
      <c r="M4" s="10"/>
    </row>
    <row r="5" ht="56.1" customHeight="1">
      <c r="A5" s="6"/>
      <c r="B5" s="67"/>
      <c r="C5" s="67"/>
      <c r="D5" s="67"/>
      <c r="E5" s="68"/>
      <c r="F5" s="68"/>
      <c r="G5" s="68"/>
      <c r="H5" s="68"/>
      <c r="I5" s="68"/>
      <c r="J5" s="68"/>
      <c r="K5" s="68"/>
      <c r="L5" s="68"/>
      <c r="M5" s="10"/>
    </row>
    <row r="6" ht="96" customHeight="1">
      <c r="A6" s="71"/>
      <c r="B6" t="s" s="72">
        <v>26</v>
      </c>
      <c r="C6" t="s" s="73">
        <v>273</v>
      </c>
      <c r="D6" t="s" s="76">
        <v>274</v>
      </c>
      <c r="E6" t="s" s="76">
        <v>275</v>
      </c>
      <c r="F6" t="s" s="76">
        <v>276</v>
      </c>
      <c r="G6" t="s" s="73">
        <v>277</v>
      </c>
      <c r="H6" t="s" s="76">
        <v>278</v>
      </c>
      <c r="I6" t="s" s="73">
        <v>279</v>
      </c>
      <c r="J6" t="s" s="73">
        <v>280</v>
      </c>
      <c r="K6" t="s" s="76">
        <v>281</v>
      </c>
      <c r="L6" t="s" s="76">
        <v>282</v>
      </c>
      <c r="M6" s="128"/>
    </row>
    <row r="7" ht="39.75" customHeight="1">
      <c r="A7" t="s" s="83">
        <v>283</v>
      </c>
      <c r="B7" t="s" s="84">
        <v>52</v>
      </c>
      <c r="C7" t="s" s="91">
        <v>284</v>
      </c>
      <c r="D7" t="s" s="87">
        <v>75</v>
      </c>
      <c r="E7" t="s" s="87">
        <v>285</v>
      </c>
      <c r="F7" t="s" s="129">
        <v>286</v>
      </c>
      <c r="G7" t="s" s="91">
        <v>287</v>
      </c>
      <c r="H7" t="s" s="129">
        <v>288</v>
      </c>
      <c r="I7" t="s" s="84">
        <v>289</v>
      </c>
      <c r="J7" t="s" s="91">
        <v>290</v>
      </c>
      <c r="K7" t="s" s="87">
        <v>291</v>
      </c>
      <c r="L7" t="s" s="87">
        <v>292</v>
      </c>
      <c r="M7" s="130"/>
    </row>
    <row r="8" ht="96" customHeight="1">
      <c r="A8" t="s" s="94">
        <v>80</v>
      </c>
      <c r="B8" s="95" cm="1">
        <f t="array" ref="B8">IF(COUNTA(C8:H8)=0,"",9992+ROW())</f>
        <v>10000</v>
      </c>
      <c r="C8" s="96">
        <v>45806</v>
      </c>
      <c r="D8" t="s" s="97">
        <v>89</v>
      </c>
      <c r="E8" t="s" s="97">
        <v>293</v>
      </c>
      <c r="F8" t="s" s="97">
        <v>294</v>
      </c>
      <c r="G8" s="96">
        <v>45881</v>
      </c>
      <c r="H8" s="107"/>
      <c r="I8" t="s" s="97">
        <v>82</v>
      </c>
      <c r="J8" s="98">
        <v>5</v>
      </c>
      <c r="K8" t="s" s="97">
        <v>295</v>
      </c>
      <c r="L8" t="s" s="97">
        <v>296</v>
      </c>
      <c r="M8" s="128"/>
    </row>
    <row r="9" ht="96" customHeight="1">
      <c r="A9" s="71"/>
      <c r="B9" s="131" cm="1">
        <f t="array" ref="B9">IF(COUNTA(C9:H9)=0,"",9992+ROW())</f>
        <v>10001</v>
      </c>
      <c r="C9" s="110">
        <v>45806</v>
      </c>
      <c r="D9" t="s" s="84">
        <v>297</v>
      </c>
      <c r="E9" t="s" s="84">
        <v>104</v>
      </c>
      <c r="F9" t="s" s="84">
        <v>106</v>
      </c>
      <c r="G9" s="110">
        <v>45823</v>
      </c>
      <c r="H9" t="s" s="84">
        <v>298</v>
      </c>
      <c r="I9" t="s" s="84">
        <v>82</v>
      </c>
      <c r="J9" s="111">
        <v>505</v>
      </c>
      <c r="K9" t="s" s="84">
        <v>96</v>
      </c>
      <c r="L9" t="s" s="84">
        <v>299</v>
      </c>
      <c r="M9" s="128"/>
    </row>
    <row r="10" ht="96" customHeight="1">
      <c r="A10" s="71"/>
      <c r="B10" s="131" cm="1">
        <f t="array" ref="B10">IF(COUNTA(C10:H10)=0,"",9992+ROW())</f>
        <v>10002</v>
      </c>
      <c r="C10" s="110">
        <v>45807</v>
      </c>
      <c r="D10" t="s" s="84">
        <v>300</v>
      </c>
      <c r="E10" t="s" s="84">
        <v>120</v>
      </c>
      <c r="F10" t="s" s="84">
        <v>301</v>
      </c>
      <c r="G10" s="110">
        <v>45848</v>
      </c>
      <c r="H10" t="s" s="84">
        <v>302</v>
      </c>
      <c r="I10" t="s" s="84">
        <v>110</v>
      </c>
      <c r="J10" s="111">
        <v>140</v>
      </c>
      <c r="K10" t="s" s="84">
        <v>112</v>
      </c>
      <c r="L10" t="s" s="84">
        <v>303</v>
      </c>
      <c r="M10" s="128"/>
    </row>
    <row r="11" ht="96" customHeight="1">
      <c r="A11" s="71"/>
      <c r="B11" s="131" cm="1">
        <f t="array" ref="B11">IF(COUNTA(C11:H11)=0,"",9992+ROW())</f>
        <v>10003</v>
      </c>
      <c r="C11" s="110">
        <v>45808</v>
      </c>
      <c r="D11" t="s" s="84">
        <v>304</v>
      </c>
      <c r="E11" t="s" s="84">
        <v>135</v>
      </c>
      <c r="F11" t="s" s="84">
        <v>305</v>
      </c>
      <c r="G11" s="110">
        <v>45849</v>
      </c>
      <c r="H11" t="s" s="84">
        <v>306</v>
      </c>
      <c r="I11" t="s" s="84">
        <v>82</v>
      </c>
      <c r="J11" s="111">
        <v>75</v>
      </c>
      <c r="K11" t="s" s="84">
        <v>127</v>
      </c>
      <c r="L11" t="s" s="84">
        <v>307</v>
      </c>
      <c r="M11" s="128"/>
    </row>
    <row r="12" ht="96" customHeight="1">
      <c r="A12" s="71"/>
      <c r="B12" s="131" cm="1">
        <f t="array" ref="B12">IF(COUNTA(C12:H12)=0,"",9992+ROW())</f>
        <v>10004</v>
      </c>
      <c r="C12" s="110">
        <v>45807</v>
      </c>
      <c r="D12" t="s" s="84">
        <v>300</v>
      </c>
      <c r="E12" t="s" s="84">
        <v>149</v>
      </c>
      <c r="F12" t="s" s="84">
        <v>122</v>
      </c>
      <c r="G12" s="110">
        <v>45824</v>
      </c>
      <c r="H12" t="s" s="84">
        <v>308</v>
      </c>
      <c r="I12" t="s" s="84">
        <v>110</v>
      </c>
      <c r="J12" s="111">
        <v>515</v>
      </c>
      <c r="K12" t="s" s="84">
        <v>142</v>
      </c>
      <c r="L12" t="s" s="84">
        <v>309</v>
      </c>
      <c r="M12" s="128"/>
    </row>
    <row r="13" ht="96" customHeight="1">
      <c r="A13" s="71"/>
      <c r="B13" s="131" cm="1">
        <f t="array" ref="B13">IF(COUNTA(C13:H13)=0,"",9992+ROW())</f>
        <v>10005</v>
      </c>
      <c r="C13" s="110">
        <v>45808</v>
      </c>
      <c r="D13" t="s" s="84">
        <v>304</v>
      </c>
      <c r="E13" t="s" s="84">
        <v>159</v>
      </c>
      <c r="F13" t="s" s="84">
        <v>310</v>
      </c>
      <c r="G13" s="110">
        <v>45855</v>
      </c>
      <c r="H13" t="s" s="84">
        <v>302</v>
      </c>
      <c r="I13" t="s" s="84">
        <v>82</v>
      </c>
      <c r="J13" s="111">
        <v>140</v>
      </c>
      <c r="K13" t="s" s="84">
        <v>153</v>
      </c>
      <c r="L13" t="s" s="84">
        <v>311</v>
      </c>
      <c r="M13" s="128"/>
    </row>
    <row r="14" ht="96" customHeight="1">
      <c r="A14" s="71"/>
      <c r="B14" s="131" cm="1">
        <f t="array" ref="B14">IF(COUNTA(C14:H14)=0,"",9992+ROW())</f>
        <v>10006</v>
      </c>
      <c r="C14" s="110">
        <v>45809</v>
      </c>
      <c r="D14" t="s" s="84">
        <v>312</v>
      </c>
      <c r="E14" t="s" s="84">
        <v>169</v>
      </c>
      <c r="F14" t="s" s="84">
        <v>313</v>
      </c>
      <c r="G14" s="110">
        <v>45856</v>
      </c>
      <c r="H14" t="s" s="84">
        <v>306</v>
      </c>
      <c r="I14" t="s" s="84">
        <v>82</v>
      </c>
      <c r="J14" s="111">
        <v>75</v>
      </c>
      <c r="K14" t="s" s="84">
        <v>163</v>
      </c>
      <c r="L14" t="s" s="84">
        <v>314</v>
      </c>
      <c r="M14" s="128"/>
    </row>
    <row r="15" ht="96" customHeight="1">
      <c r="A15" s="71"/>
      <c r="B15" s="131" cm="1">
        <f t="array" ref="B15">IF(COUNTA(C15:H15)=0,"",9992+ROW())</f>
        <v>10007</v>
      </c>
      <c r="C15" s="110">
        <v>45808</v>
      </c>
      <c r="D15" t="s" s="84">
        <v>304</v>
      </c>
      <c r="E15" t="s" s="84">
        <v>180</v>
      </c>
      <c r="F15" t="s" s="84">
        <v>137</v>
      </c>
      <c r="G15" s="110">
        <v>45825</v>
      </c>
      <c r="H15" t="s" s="84">
        <v>315</v>
      </c>
      <c r="I15" t="s" s="84">
        <v>110</v>
      </c>
      <c r="J15" s="111">
        <v>525</v>
      </c>
      <c r="K15" t="s" s="84">
        <v>104</v>
      </c>
      <c r="L15" t="s" s="84">
        <v>316</v>
      </c>
      <c r="M15" s="128"/>
    </row>
    <row r="16" ht="96" customHeight="1">
      <c r="A16" s="71"/>
      <c r="B16" s="131" cm="1">
        <f t="array" ref="B16">IF(COUNTA(C16:H16)=0,"",9992+ROW())</f>
        <v>10008</v>
      </c>
      <c r="C16" s="110">
        <v>45809</v>
      </c>
      <c r="D16" t="s" s="84">
        <v>312</v>
      </c>
      <c r="E16" t="s" s="84">
        <v>190</v>
      </c>
      <c r="F16" t="s" s="84">
        <v>171</v>
      </c>
      <c r="G16" s="110">
        <v>45855</v>
      </c>
      <c r="H16" t="s" s="84">
        <v>302</v>
      </c>
      <c r="I16" t="s" s="84">
        <v>110</v>
      </c>
      <c r="J16" s="111">
        <v>140</v>
      </c>
      <c r="K16" t="s" s="84">
        <v>183</v>
      </c>
      <c r="L16" t="s" s="84">
        <v>317</v>
      </c>
      <c r="M16" s="128"/>
    </row>
    <row r="17" ht="96" customHeight="1">
      <c r="A17" s="71"/>
      <c r="B17" s="131" cm="1">
        <f t="array" ref="B17">IF(COUNTA(C17:H17)=0,"",9992+ROW())</f>
        <v>10009</v>
      </c>
      <c r="C17" s="110">
        <v>45810</v>
      </c>
      <c r="D17" t="s" s="84">
        <v>318</v>
      </c>
      <c r="E17" t="s" s="84">
        <v>200</v>
      </c>
      <c r="F17" t="s" s="84">
        <v>182</v>
      </c>
      <c r="G17" s="110">
        <v>45856</v>
      </c>
      <c r="H17" t="s" s="84">
        <v>306</v>
      </c>
      <c r="I17" t="s" s="84">
        <v>82</v>
      </c>
      <c r="J17" s="111">
        <v>75</v>
      </c>
      <c r="K17" t="s" s="84">
        <v>193</v>
      </c>
      <c r="L17" t="s" s="84">
        <v>319</v>
      </c>
      <c r="M17" s="128"/>
    </row>
    <row r="18" ht="96" customHeight="1">
      <c r="A18" s="71"/>
      <c r="B18" s="131" cm="1">
        <f t="array" ref="B18">IF(COUNTA(C18:H18)=0,"",9992+ROW())</f>
        <v>10010</v>
      </c>
      <c r="C18" s="110">
        <v>45809</v>
      </c>
      <c r="D18" t="s" s="84">
        <v>312</v>
      </c>
      <c r="E18" t="s" s="84">
        <v>211</v>
      </c>
      <c r="F18" t="s" s="84">
        <v>151</v>
      </c>
      <c r="G18" s="110">
        <v>45826</v>
      </c>
      <c r="H18" t="s" s="84">
        <v>320</v>
      </c>
      <c r="I18" t="s" s="84">
        <v>110</v>
      </c>
      <c r="J18" s="111">
        <v>535</v>
      </c>
      <c r="K18" t="s" s="84">
        <v>205</v>
      </c>
      <c r="L18" t="s" s="84">
        <v>321</v>
      </c>
      <c r="M18" s="128"/>
    </row>
    <row r="19" ht="96" customHeight="1">
      <c r="A19" s="71"/>
      <c r="B19" s="131" cm="1">
        <f t="array" ref="B19">IF(COUNTA(C19:H19)=0,"",9992+ROW())</f>
        <v>10011</v>
      </c>
      <c r="C19" s="110">
        <v>45810</v>
      </c>
      <c r="D19" t="s" s="84">
        <v>318</v>
      </c>
      <c r="E19" t="s" s="84">
        <v>218</v>
      </c>
      <c r="F19" t="s" s="84">
        <v>202</v>
      </c>
      <c r="G19" s="110">
        <v>45855</v>
      </c>
      <c r="H19" t="s" s="84">
        <v>306</v>
      </c>
      <c r="I19" t="s" s="84">
        <v>82</v>
      </c>
      <c r="J19" s="111">
        <v>140</v>
      </c>
      <c r="K19" t="s" s="84">
        <v>120</v>
      </c>
      <c r="L19" t="s" s="84">
        <v>322</v>
      </c>
      <c r="M19" s="128"/>
    </row>
    <row r="20" ht="96" customHeight="1">
      <c r="A20" s="71"/>
      <c r="B20" s="131" cm="1">
        <f t="array" ref="B20">IF(COUNTA(C20:H20)=0,"",9992+ROW())</f>
        <v>10012</v>
      </c>
      <c r="C20" s="110">
        <v>45811</v>
      </c>
      <c r="D20" t="s" s="84">
        <v>323</v>
      </c>
      <c r="E20" t="s" s="84">
        <v>226</v>
      </c>
      <c r="F20" t="s" s="84">
        <v>213</v>
      </c>
      <c r="G20" s="110">
        <v>45856</v>
      </c>
      <c r="H20" t="s" s="84">
        <v>320</v>
      </c>
      <c r="I20" t="s" s="84">
        <v>82</v>
      </c>
      <c r="J20" s="111">
        <v>75</v>
      </c>
      <c r="K20" t="s" s="84">
        <v>221</v>
      </c>
      <c r="L20" t="s" s="84">
        <v>324</v>
      </c>
      <c r="M20" s="128"/>
    </row>
    <row r="21" ht="96" customHeight="1">
      <c r="A21" s="71"/>
      <c r="B21" s="131" cm="1">
        <f t="array" ref="B21">IF(COUNTA(C21:H21)=0,"",9992+ROW())</f>
        <v>10013</v>
      </c>
      <c r="C21" s="110">
        <v>45810</v>
      </c>
      <c r="D21" t="s" s="84">
        <v>318</v>
      </c>
      <c r="E21" t="s" s="84">
        <v>236</v>
      </c>
      <c r="F21" t="s" s="84">
        <v>161</v>
      </c>
      <c r="G21" s="110">
        <v>45827</v>
      </c>
      <c r="H21" t="s" s="84">
        <v>325</v>
      </c>
      <c r="I21" t="s" s="84">
        <v>110</v>
      </c>
      <c r="J21" s="111">
        <v>25</v>
      </c>
      <c r="K21" t="s" s="84">
        <v>135</v>
      </c>
      <c r="L21" t="s" s="84">
        <v>326</v>
      </c>
      <c r="M21" s="128"/>
    </row>
    <row r="22" ht="96" customHeight="1">
      <c r="A22" s="71"/>
      <c r="B22" s="131" cm="1">
        <f t="array" ref="B22">IF(COUNTA(C22:H22)=0,"",9992+ROW())</f>
        <v>10014</v>
      </c>
      <c r="C22" s="110">
        <v>45811</v>
      </c>
      <c r="D22" t="s" s="84">
        <v>323</v>
      </c>
      <c r="E22" t="s" s="84">
        <v>246</v>
      </c>
      <c r="F22" t="s" s="84">
        <v>171</v>
      </c>
      <c r="G22" s="110">
        <v>45828</v>
      </c>
      <c r="H22" t="s" s="84">
        <v>302</v>
      </c>
      <c r="I22" t="s" s="84">
        <v>110</v>
      </c>
      <c r="J22" s="111">
        <v>20</v>
      </c>
      <c r="K22" t="s" s="84">
        <v>240</v>
      </c>
      <c r="L22" t="s" s="84">
        <v>327</v>
      </c>
      <c r="M22" s="128"/>
    </row>
    <row r="23" ht="96" customHeight="1">
      <c r="A23" s="71"/>
      <c r="B23" s="131" cm="1">
        <f t="array" ref="B23">IF(COUNTA(C23:H23)=0,"",9992+ROW())</f>
        <v>10015</v>
      </c>
      <c r="C23" s="110">
        <v>45812</v>
      </c>
      <c r="D23" t="s" s="84">
        <v>328</v>
      </c>
      <c r="E23" t="s" s="84">
        <v>256</v>
      </c>
      <c r="F23" t="s" s="84">
        <v>182</v>
      </c>
      <c r="G23" s="110">
        <v>45829</v>
      </c>
      <c r="H23" t="s" s="84">
        <v>306</v>
      </c>
      <c r="I23" t="s" s="84">
        <v>82</v>
      </c>
      <c r="J23" s="111">
        <v>15</v>
      </c>
      <c r="K23" t="s" s="84">
        <v>251</v>
      </c>
      <c r="L23" t="s" s="84">
        <v>329</v>
      </c>
      <c r="M23" s="128"/>
    </row>
    <row r="24" ht="96" customHeight="1">
      <c r="A24" s="119"/>
      <c r="B24" s="131" cm="1">
        <f t="array" ref="B24">IF(COUNTA(C24:H24)=0,"",9992+ROW())</f>
        <v>10016</v>
      </c>
      <c r="C24" s="110">
        <v>45813</v>
      </c>
      <c r="D24" t="s" s="84">
        <v>330</v>
      </c>
      <c r="E24" t="s" s="84">
        <v>268</v>
      </c>
      <c r="F24" t="s" s="84">
        <v>192</v>
      </c>
      <c r="G24" s="110">
        <v>45830</v>
      </c>
      <c r="H24" t="s" s="84">
        <v>298</v>
      </c>
      <c r="I24" t="s" s="84">
        <v>82</v>
      </c>
      <c r="J24" s="111">
        <v>10</v>
      </c>
      <c r="K24" t="s" s="84">
        <v>261</v>
      </c>
      <c r="L24" t="s" s="84">
        <v>331</v>
      </c>
      <c r="M24" s="132"/>
    </row>
  </sheetData>
  <mergeCells count="1">
    <mergeCell ref="B4:D4"/>
  </mergeCells>
  <dataValidations count="1">
    <dataValidation type="list" allowBlank="1" showInputMessage="1" showErrorMessage="1" sqref="I8:I24">
      <formula1>"Choose option,Yes,No"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U24"/>
  <sheetViews>
    <sheetView workbookViewId="0" showGridLines="0" defaultGridColor="1"/>
  </sheetViews>
  <sheetFormatPr defaultColWidth="40.8333" defaultRowHeight="96" customHeight="1" outlineLevelRow="0" outlineLevelCol="0"/>
  <cols>
    <col min="1" max="1" width="12.8516" style="133" customWidth="1"/>
    <col min="2" max="15" width="40.8516" style="133" customWidth="1"/>
    <col min="16" max="21" width="12.8516" style="133" customWidth="1"/>
    <col min="22" max="16384" width="40.8516" style="133" customWidth="1"/>
  </cols>
  <sheetData>
    <row r="1" ht="56.1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</row>
    <row r="2" ht="56.1" customHeight="1">
      <c r="A2" s="6"/>
      <c r="B2" s="124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/>
    </row>
    <row r="3" ht="56.1" customHeight="1">
      <c r="A3" s="6"/>
      <c r="B3" t="s" s="40">
        <v>332</v>
      </c>
      <c r="C3" s="41"/>
      <c r="D3" s="42"/>
      <c r="E3" s="4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</row>
    <row r="4" ht="56.1" customHeight="1">
      <c r="A4" s="50"/>
      <c r="B4" t="s" s="125">
        <v>333</v>
      </c>
      <c r="C4" s="126"/>
      <c r="D4" s="126"/>
      <c r="E4" s="127"/>
      <c r="F4" s="54"/>
      <c r="G4" s="56"/>
      <c r="H4" s="56"/>
      <c r="I4" s="56"/>
      <c r="J4" s="56"/>
      <c r="K4" s="56"/>
      <c r="L4" s="56"/>
      <c r="M4" s="56"/>
      <c r="N4" s="56"/>
      <c r="O4" s="56"/>
      <c r="P4" s="9"/>
      <c r="Q4" s="9"/>
      <c r="R4" s="9"/>
      <c r="S4" s="9"/>
      <c r="T4" s="9"/>
      <c r="U4" s="10"/>
    </row>
    <row r="5" ht="56.1" customHeight="1">
      <c r="A5" s="6"/>
      <c r="B5" s="67"/>
      <c r="C5" s="67"/>
      <c r="D5" s="67"/>
      <c r="E5" s="67"/>
      <c r="F5" s="68"/>
      <c r="G5" s="68"/>
      <c r="H5" s="68"/>
      <c r="I5" s="68"/>
      <c r="J5" s="68"/>
      <c r="K5" s="68"/>
      <c r="L5" s="68"/>
      <c r="M5" s="68"/>
      <c r="N5" s="68"/>
      <c r="O5" s="68"/>
      <c r="P5" s="9"/>
      <c r="Q5" s="9"/>
      <c r="R5" s="9"/>
      <c r="S5" s="9"/>
      <c r="T5" s="9"/>
      <c r="U5" s="10"/>
    </row>
    <row r="6" ht="96" customHeight="1">
      <c r="A6" s="71"/>
      <c r="B6" t="s" s="72">
        <v>26</v>
      </c>
      <c r="C6" t="s" s="72">
        <v>45</v>
      </c>
      <c r="D6" t="s" s="73">
        <v>29</v>
      </c>
      <c r="E6" t="s" s="73">
        <v>28</v>
      </c>
      <c r="F6" t="s" s="73">
        <v>273</v>
      </c>
      <c r="G6" t="s" s="76">
        <v>274</v>
      </c>
      <c r="H6" t="s" s="73">
        <v>334</v>
      </c>
      <c r="I6" t="s" s="73">
        <v>335</v>
      </c>
      <c r="J6" t="s" s="76">
        <v>336</v>
      </c>
      <c r="K6" t="s" s="76">
        <v>337</v>
      </c>
      <c r="L6" t="s" s="76">
        <v>338</v>
      </c>
      <c r="M6" t="s" s="76">
        <v>339</v>
      </c>
      <c r="N6" t="s" s="76">
        <v>340</v>
      </c>
      <c r="O6" t="s" s="76">
        <v>341</v>
      </c>
      <c r="P6" s="134"/>
      <c r="Q6" s="134"/>
      <c r="R6" s="134"/>
      <c r="S6" s="134"/>
      <c r="T6" s="134"/>
      <c r="U6" s="128"/>
    </row>
    <row r="7" ht="34.5" customHeight="1">
      <c r="A7" t="s" s="83">
        <v>342</v>
      </c>
      <c r="B7" t="s" s="84">
        <v>52</v>
      </c>
      <c r="C7" t="s" s="84">
        <v>74</v>
      </c>
      <c r="D7" t="s" s="84">
        <v>55</v>
      </c>
      <c r="E7" t="s" s="84">
        <v>54</v>
      </c>
      <c r="F7" t="s" s="91">
        <v>284</v>
      </c>
      <c r="G7" t="s" s="129">
        <v>75</v>
      </c>
      <c r="H7" t="s" s="135">
        <v>343</v>
      </c>
      <c r="I7" t="s" s="136">
        <v>344</v>
      </c>
      <c r="J7" t="s" s="87">
        <v>345</v>
      </c>
      <c r="K7" t="s" s="87">
        <v>346</v>
      </c>
      <c r="L7" t="s" s="87">
        <v>347</v>
      </c>
      <c r="M7" t="s" s="87">
        <v>348</v>
      </c>
      <c r="N7" t="s" s="88">
        <v>349</v>
      </c>
      <c r="O7" t="s" s="87">
        <v>79</v>
      </c>
      <c r="P7" s="137"/>
      <c r="Q7" s="137"/>
      <c r="R7" s="137"/>
      <c r="S7" s="137"/>
      <c r="T7" s="137"/>
      <c r="U7" s="130"/>
    </row>
    <row r="8" ht="96" customHeight="1">
      <c r="A8" t="s" s="94">
        <v>80</v>
      </c>
      <c r="B8" s="95" cm="1">
        <f t="array" ref="B8">IF(COUNTA(F8:H8)=0,"",9992+ROW())</f>
        <v>10000</v>
      </c>
      <c r="C8" t="s" s="138">
        <v>88</v>
      </c>
      <c r="D8" t="s" s="97">
        <v>81</v>
      </c>
      <c r="E8" t="s" s="97">
        <v>81</v>
      </c>
      <c r="F8" s="96">
        <v>45806</v>
      </c>
      <c r="G8" t="s" s="97">
        <v>89</v>
      </c>
      <c r="H8" s="100">
        <v>50</v>
      </c>
      <c r="I8" t="s" s="97">
        <v>350</v>
      </c>
      <c r="J8" t="s" s="97">
        <v>293</v>
      </c>
      <c r="K8" t="s" s="97">
        <v>294</v>
      </c>
      <c r="L8" t="s" s="97">
        <v>351</v>
      </c>
      <c r="M8" t="s" s="139">
        <v>352</v>
      </c>
      <c r="N8" s="104">
        <v>1234567890</v>
      </c>
      <c r="O8" s="107"/>
      <c r="P8" s="134"/>
      <c r="Q8" s="134"/>
      <c r="R8" s="134"/>
      <c r="S8" s="134"/>
      <c r="T8" s="134"/>
      <c r="U8" s="128"/>
    </row>
    <row r="9" ht="96" customHeight="1">
      <c r="A9" s="71"/>
      <c r="B9" s="109" cm="1">
        <f t="array" ref="B9">IF(COUNTA(F9:H9)=0,"",9992+ROW())</f>
        <v>10001</v>
      </c>
      <c r="C9" t="s" s="84">
        <v>353</v>
      </c>
      <c r="D9" t="s" s="84">
        <v>354</v>
      </c>
      <c r="E9" t="s" s="84">
        <v>93</v>
      </c>
      <c r="F9" s="110">
        <v>45806</v>
      </c>
      <c r="G9" t="s" s="84">
        <v>297</v>
      </c>
      <c r="H9" s="111">
        <v>5000</v>
      </c>
      <c r="I9" t="s" s="84">
        <v>355</v>
      </c>
      <c r="J9" t="s" s="84">
        <v>96</v>
      </c>
      <c r="K9" t="s" s="84">
        <v>97</v>
      </c>
      <c r="L9" t="s" s="84">
        <v>98</v>
      </c>
      <c r="M9" t="s" s="114">
        <v>99</v>
      </c>
      <c r="N9" t="s" s="115">
        <v>100</v>
      </c>
      <c r="O9" t="s" s="84">
        <v>107</v>
      </c>
      <c r="P9" s="134"/>
      <c r="Q9" s="134"/>
      <c r="R9" s="134"/>
      <c r="S9" s="134"/>
      <c r="T9" s="134"/>
      <c r="U9" s="128"/>
    </row>
    <row r="10" ht="96" customHeight="1">
      <c r="A10" s="71"/>
      <c r="B10" s="109" cm="1">
        <f t="array" ref="B10">IF(COUNTA(F10:H10)=0,"",9992+ROW())</f>
        <v>10002</v>
      </c>
      <c r="C10" t="s" s="84">
        <v>88</v>
      </c>
      <c r="D10" t="s" s="84">
        <v>94</v>
      </c>
      <c r="E10" t="s" s="84">
        <v>108</v>
      </c>
      <c r="F10" s="110">
        <v>45807</v>
      </c>
      <c r="G10" t="s" s="84">
        <v>300</v>
      </c>
      <c r="H10" s="111">
        <v>1660</v>
      </c>
      <c r="I10" t="s" s="84">
        <v>356</v>
      </c>
      <c r="J10" t="s" s="84">
        <v>112</v>
      </c>
      <c r="K10" t="s" s="84">
        <v>113</v>
      </c>
      <c r="L10" t="s" s="84">
        <v>114</v>
      </c>
      <c r="M10" t="s" s="114">
        <v>115</v>
      </c>
      <c r="N10" t="s" s="115">
        <v>116</v>
      </c>
      <c r="O10" t="s" s="84">
        <v>123</v>
      </c>
      <c r="P10" s="134"/>
      <c r="Q10" s="134"/>
      <c r="R10" s="134"/>
      <c r="S10" s="134"/>
      <c r="T10" s="134"/>
      <c r="U10" s="128"/>
    </row>
    <row r="11" ht="96" customHeight="1">
      <c r="A11" s="71"/>
      <c r="B11" s="109" cm="1">
        <f t="array" ref="B11">IF(COUNTA(F11:H11)=0,"",9992+ROW())</f>
        <v>10003</v>
      </c>
      <c r="C11" t="s" s="84">
        <v>357</v>
      </c>
      <c r="D11" t="s" s="84">
        <v>109</v>
      </c>
      <c r="E11" t="s" s="84">
        <v>124</v>
      </c>
      <c r="F11" s="110">
        <v>45808</v>
      </c>
      <c r="G11" t="s" s="84">
        <v>304</v>
      </c>
      <c r="H11" s="111">
        <v>1610</v>
      </c>
      <c r="I11" t="s" s="84">
        <v>350</v>
      </c>
      <c r="J11" t="s" s="84">
        <v>127</v>
      </c>
      <c r="K11" t="s" s="84">
        <v>128</v>
      </c>
      <c r="L11" t="s" s="84">
        <v>129</v>
      </c>
      <c r="M11" t="s" s="114">
        <v>130</v>
      </c>
      <c r="N11" t="s" s="115">
        <v>131</v>
      </c>
      <c r="O11" t="s" s="84">
        <v>138</v>
      </c>
      <c r="P11" s="134"/>
      <c r="Q11" s="134"/>
      <c r="R11" s="134"/>
      <c r="S11" s="134"/>
      <c r="T11" s="134"/>
      <c r="U11" s="128"/>
    </row>
    <row r="12" ht="96" customHeight="1">
      <c r="A12" s="71"/>
      <c r="B12" s="109" cm="1">
        <f t="array" ref="B12">IF(COUNTA(F12:H12)=0,"",9992+ROW())</f>
        <v>10004</v>
      </c>
      <c r="C12" t="s" s="84">
        <v>358</v>
      </c>
      <c r="D12" t="s" s="84">
        <v>125</v>
      </c>
      <c r="E12" t="s" s="84">
        <v>139</v>
      </c>
      <c r="F12" s="110">
        <v>45807</v>
      </c>
      <c r="G12" t="s" s="84">
        <v>300</v>
      </c>
      <c r="H12" s="111">
        <v>5150</v>
      </c>
      <c r="I12" t="s" s="84">
        <v>350</v>
      </c>
      <c r="J12" t="s" s="84">
        <v>142</v>
      </c>
      <c r="K12" t="s" s="84">
        <v>143</v>
      </c>
      <c r="L12" t="s" s="84">
        <v>144</v>
      </c>
      <c r="M12" t="s" s="114">
        <v>145</v>
      </c>
      <c r="N12" t="s" s="115">
        <v>100</v>
      </c>
      <c r="O12" t="s" s="84">
        <v>123</v>
      </c>
      <c r="P12" s="134"/>
      <c r="Q12" s="134"/>
      <c r="R12" s="134"/>
      <c r="S12" s="134"/>
      <c r="T12" s="134"/>
      <c r="U12" s="128"/>
    </row>
    <row r="13" ht="96" customHeight="1">
      <c r="A13" s="71"/>
      <c r="B13" s="109" cm="1">
        <f t="array" ref="B13">IF(COUNTA(F13:H13)=0,"",9992+ROW())</f>
        <v>10005</v>
      </c>
      <c r="C13" t="s" s="84">
        <v>359</v>
      </c>
      <c r="D13" t="s" s="84">
        <v>140</v>
      </c>
      <c r="E13" t="s" s="84">
        <v>108</v>
      </c>
      <c r="F13" s="110">
        <v>45808</v>
      </c>
      <c r="G13" t="s" s="84">
        <v>304</v>
      </c>
      <c r="H13" s="111">
        <v>1660</v>
      </c>
      <c r="I13" t="s" s="84">
        <v>356</v>
      </c>
      <c r="J13" t="s" s="84">
        <v>153</v>
      </c>
      <c r="K13" t="s" s="84">
        <v>154</v>
      </c>
      <c r="L13" t="s" s="84">
        <v>155</v>
      </c>
      <c r="M13" t="s" s="114">
        <v>99</v>
      </c>
      <c r="N13" t="s" s="115">
        <v>156</v>
      </c>
      <c r="O13" t="s" s="84">
        <v>162</v>
      </c>
      <c r="P13" s="134"/>
      <c r="Q13" s="134"/>
      <c r="R13" s="134"/>
      <c r="S13" s="134"/>
      <c r="T13" s="134"/>
      <c r="U13" s="128"/>
    </row>
    <row r="14" ht="96" customHeight="1">
      <c r="A14" s="71"/>
      <c r="B14" s="109" cm="1">
        <f t="array" ref="B14">IF(COUNTA(F14:H14)=0,"",9992+ROW())</f>
        <v>10006</v>
      </c>
      <c r="C14" t="s" s="84">
        <v>360</v>
      </c>
      <c r="D14" t="s" s="84">
        <v>109</v>
      </c>
      <c r="E14" t="s" s="84">
        <v>124</v>
      </c>
      <c r="F14" s="110">
        <v>45809</v>
      </c>
      <c r="G14" t="s" s="84">
        <v>312</v>
      </c>
      <c r="H14" s="111">
        <v>1610</v>
      </c>
      <c r="I14" t="s" s="84">
        <v>355</v>
      </c>
      <c r="J14" t="s" s="84">
        <v>163</v>
      </c>
      <c r="K14" t="s" s="84">
        <v>164</v>
      </c>
      <c r="L14" t="s" s="84">
        <v>165</v>
      </c>
      <c r="M14" t="s" s="114">
        <v>145</v>
      </c>
      <c r="N14" t="s" s="115">
        <v>166</v>
      </c>
      <c r="O14" t="s" s="84">
        <v>172</v>
      </c>
      <c r="P14" s="134"/>
      <c r="Q14" s="134"/>
      <c r="R14" s="134"/>
      <c r="S14" s="134"/>
      <c r="T14" s="134"/>
      <c r="U14" s="128"/>
    </row>
    <row r="15" ht="96" customHeight="1">
      <c r="A15" s="71"/>
      <c r="B15" s="109" cm="1">
        <f t="array" ref="B15">IF(COUNTA(F15:H15)=0,"",9992+ROW())</f>
        <v>10007</v>
      </c>
      <c r="C15" t="s" s="84">
        <v>361</v>
      </c>
      <c r="D15" t="s" s="84">
        <v>125</v>
      </c>
      <c r="E15" t="s" s="84">
        <v>173</v>
      </c>
      <c r="F15" s="110">
        <v>45808</v>
      </c>
      <c r="G15" t="s" s="84">
        <v>304</v>
      </c>
      <c r="H15" s="111">
        <v>5300</v>
      </c>
      <c r="I15" t="s" s="84">
        <v>350</v>
      </c>
      <c r="J15" t="s" s="84">
        <v>104</v>
      </c>
      <c r="K15" t="s" s="84">
        <v>175</v>
      </c>
      <c r="L15" t="s" s="84">
        <v>176</v>
      </c>
      <c r="M15" t="s" s="114">
        <v>145</v>
      </c>
      <c r="N15" t="s" s="115">
        <v>177</v>
      </c>
      <c r="O15" t="s" s="84">
        <v>162</v>
      </c>
      <c r="P15" s="134"/>
      <c r="Q15" s="134"/>
      <c r="R15" s="134"/>
      <c r="S15" s="134"/>
      <c r="T15" s="134"/>
      <c r="U15" s="128"/>
    </row>
    <row r="16" ht="96" customHeight="1">
      <c r="A16" s="71"/>
      <c r="B16" s="109" cm="1">
        <f t="array" ref="B16">IF(COUNTA(F16:H16)=0,"",9992+ROW())</f>
        <v>10008</v>
      </c>
      <c r="C16" t="s" s="84">
        <v>362</v>
      </c>
      <c r="D16" t="s" s="84">
        <v>174</v>
      </c>
      <c r="E16" t="s" s="84">
        <v>108</v>
      </c>
      <c r="F16" s="110">
        <v>45809</v>
      </c>
      <c r="G16" t="s" s="84">
        <v>312</v>
      </c>
      <c r="H16" s="111">
        <v>1660</v>
      </c>
      <c r="I16" t="s" s="84">
        <v>356</v>
      </c>
      <c r="J16" t="s" s="84">
        <v>183</v>
      </c>
      <c r="K16" t="s" s="84">
        <v>184</v>
      </c>
      <c r="L16" t="s" s="84">
        <v>185</v>
      </c>
      <c r="M16" t="s" s="114">
        <v>186</v>
      </c>
      <c r="N16" t="s" s="115">
        <v>187</v>
      </c>
      <c r="O16" t="s" s="84">
        <v>172</v>
      </c>
      <c r="P16" s="134"/>
      <c r="Q16" s="134"/>
      <c r="R16" s="134"/>
      <c r="S16" s="134"/>
      <c r="T16" s="134"/>
      <c r="U16" s="128"/>
    </row>
    <row r="17" ht="96" customHeight="1">
      <c r="A17" s="71"/>
      <c r="B17" s="109" cm="1">
        <f t="array" ref="B17">IF(COUNTA(F17:H17)=0,"",9992+ROW())</f>
        <v>10009</v>
      </c>
      <c r="C17" t="s" s="84">
        <v>363</v>
      </c>
      <c r="D17" t="s" s="84">
        <v>109</v>
      </c>
      <c r="E17" t="s" s="84">
        <v>124</v>
      </c>
      <c r="F17" s="110">
        <v>45810</v>
      </c>
      <c r="G17" t="s" s="84">
        <v>318</v>
      </c>
      <c r="H17" s="111">
        <v>1610</v>
      </c>
      <c r="I17" t="s" s="84">
        <v>355</v>
      </c>
      <c r="J17" t="s" s="84">
        <v>193</v>
      </c>
      <c r="K17" t="s" s="84">
        <v>194</v>
      </c>
      <c r="L17" t="s" s="84">
        <v>195</v>
      </c>
      <c r="M17" t="s" s="114">
        <v>196</v>
      </c>
      <c r="N17" t="s" s="115">
        <v>197</v>
      </c>
      <c r="O17" t="s" s="84">
        <v>107</v>
      </c>
      <c r="P17" s="134"/>
      <c r="Q17" s="134"/>
      <c r="R17" s="134"/>
      <c r="S17" s="134"/>
      <c r="T17" s="134"/>
      <c r="U17" s="128"/>
    </row>
    <row r="18" ht="96" customHeight="1">
      <c r="A18" s="71"/>
      <c r="B18" s="109" cm="1">
        <f t="array" ref="B18">IF(COUNTA(F18:H18)=0,"",9992+ROW())</f>
        <v>10010</v>
      </c>
      <c r="C18" t="s" s="84">
        <v>364</v>
      </c>
      <c r="D18" t="s" s="84">
        <v>125</v>
      </c>
      <c r="E18" t="s" s="84">
        <v>203</v>
      </c>
      <c r="F18" s="110">
        <v>45809</v>
      </c>
      <c r="G18" t="s" s="84">
        <v>312</v>
      </c>
      <c r="H18" s="111">
        <v>5450</v>
      </c>
      <c r="I18" t="s" s="84">
        <v>356</v>
      </c>
      <c r="J18" t="s" s="84">
        <v>205</v>
      </c>
      <c r="K18" t="s" s="84">
        <v>206</v>
      </c>
      <c r="L18" t="s" s="84">
        <v>207</v>
      </c>
      <c r="M18" t="s" s="114">
        <v>208</v>
      </c>
      <c r="N18" t="s" s="115">
        <v>177</v>
      </c>
      <c r="O18" t="s" s="84">
        <v>123</v>
      </c>
      <c r="P18" s="134"/>
      <c r="Q18" s="134"/>
      <c r="R18" s="134"/>
      <c r="S18" s="134"/>
      <c r="T18" s="134"/>
      <c r="U18" s="128"/>
    </row>
    <row r="19" ht="96" customHeight="1">
      <c r="A19" s="71"/>
      <c r="B19" s="109" cm="1">
        <f t="array" ref="B19">IF(COUNTA(F19:H19)=0,"",9992+ROW())</f>
        <v>10011</v>
      </c>
      <c r="C19" t="s" s="84">
        <v>365</v>
      </c>
      <c r="D19" t="s" s="84">
        <v>204</v>
      </c>
      <c r="E19" t="s" s="84">
        <v>108</v>
      </c>
      <c r="F19" s="110">
        <v>45810</v>
      </c>
      <c r="G19" t="s" s="84">
        <v>318</v>
      </c>
      <c r="H19" s="111">
        <v>1660</v>
      </c>
      <c r="I19" t="s" s="84">
        <v>350</v>
      </c>
      <c r="J19" t="s" s="84">
        <v>120</v>
      </c>
      <c r="K19" t="s" s="84">
        <v>214</v>
      </c>
      <c r="L19" t="s" s="84">
        <v>215</v>
      </c>
      <c r="M19" t="s" s="114">
        <v>115</v>
      </c>
      <c r="N19" t="s" s="115">
        <v>187</v>
      </c>
      <c r="O19" s="118"/>
      <c r="P19" s="134"/>
      <c r="Q19" s="134"/>
      <c r="R19" s="134"/>
      <c r="S19" s="134"/>
      <c r="T19" s="134"/>
      <c r="U19" s="128"/>
    </row>
    <row r="20" ht="96" customHeight="1">
      <c r="A20" s="71"/>
      <c r="B20" s="109" cm="1">
        <f t="array" ref="B20">IF(COUNTA(F20:H20)=0,"",9992+ROW())</f>
        <v>10012</v>
      </c>
      <c r="C20" t="s" s="84">
        <v>366</v>
      </c>
      <c r="D20" t="s" s="84">
        <v>109</v>
      </c>
      <c r="E20" t="s" s="84">
        <v>124</v>
      </c>
      <c r="F20" s="110">
        <v>45811</v>
      </c>
      <c r="G20" t="s" s="84">
        <v>323</v>
      </c>
      <c r="H20" s="111">
        <v>1610</v>
      </c>
      <c r="I20" t="s" s="84">
        <v>350</v>
      </c>
      <c r="J20" t="s" s="84">
        <v>221</v>
      </c>
      <c r="K20" t="s" s="84">
        <v>222</v>
      </c>
      <c r="L20" t="s" s="84">
        <v>223</v>
      </c>
      <c r="M20" t="s" s="114">
        <v>130</v>
      </c>
      <c r="N20" t="s" s="115">
        <v>197</v>
      </c>
      <c r="O20" s="118"/>
      <c r="P20" s="134"/>
      <c r="Q20" s="134"/>
      <c r="R20" s="134"/>
      <c r="S20" s="134"/>
      <c r="T20" s="134"/>
      <c r="U20" s="128"/>
    </row>
    <row r="21" ht="96" customHeight="1">
      <c r="A21" s="71"/>
      <c r="B21" s="109" cm="1">
        <f t="array" ref="B21">IF(COUNTA(F21:H21)=0,"",9992+ROW())</f>
        <v>10013</v>
      </c>
      <c r="C21" t="s" s="84">
        <v>367</v>
      </c>
      <c r="D21" t="s" s="84">
        <v>125</v>
      </c>
      <c r="E21" t="s" s="84">
        <v>229</v>
      </c>
      <c r="F21" s="110">
        <v>45810</v>
      </c>
      <c r="G21" t="s" s="84">
        <v>318</v>
      </c>
      <c r="H21" s="111">
        <v>1400</v>
      </c>
      <c r="I21" t="s" s="84">
        <v>356</v>
      </c>
      <c r="J21" t="s" s="84">
        <v>135</v>
      </c>
      <c r="K21" t="s" s="84">
        <v>230</v>
      </c>
      <c r="L21" t="s" s="84">
        <v>231</v>
      </c>
      <c r="M21" t="s" s="114">
        <v>232</v>
      </c>
      <c r="N21" t="s" s="115">
        <v>233</v>
      </c>
      <c r="O21" t="s" s="84">
        <v>138</v>
      </c>
      <c r="P21" s="134"/>
      <c r="Q21" s="134"/>
      <c r="R21" s="134"/>
      <c r="S21" s="134"/>
      <c r="T21" s="134"/>
      <c r="U21" s="128"/>
    </row>
    <row r="22" ht="96" customHeight="1">
      <c r="A22" s="71"/>
      <c r="B22" s="109" cm="1">
        <f t="array" ref="B22">IF(COUNTA(F22:H22)=0,"",9992+ROW())</f>
        <v>10014</v>
      </c>
      <c r="C22" t="s" s="84">
        <v>368</v>
      </c>
      <c r="D22" t="s" s="84">
        <v>125</v>
      </c>
      <c r="E22" t="s" s="84">
        <v>173</v>
      </c>
      <c r="F22" s="110">
        <v>45811</v>
      </c>
      <c r="G22" t="s" s="84">
        <v>323</v>
      </c>
      <c r="H22" s="111">
        <v>1410</v>
      </c>
      <c r="I22" t="s" s="84">
        <v>355</v>
      </c>
      <c r="J22" t="s" s="84">
        <v>240</v>
      </c>
      <c r="K22" t="s" s="84">
        <v>241</v>
      </c>
      <c r="L22" t="s" s="84">
        <v>242</v>
      </c>
      <c r="M22" t="s" s="114">
        <v>186</v>
      </c>
      <c r="N22" t="s" s="115">
        <v>243</v>
      </c>
      <c r="O22" t="s" s="84">
        <v>162</v>
      </c>
      <c r="P22" s="134"/>
      <c r="Q22" s="134"/>
      <c r="R22" s="134"/>
      <c r="S22" s="134"/>
      <c r="T22" s="134"/>
      <c r="U22" s="128"/>
    </row>
    <row r="23" ht="96" customHeight="1">
      <c r="A23" s="71"/>
      <c r="B23" s="109" cm="1">
        <f t="array" ref="B23">IF(COUNTA(F23:H23)=0,"",9992+ROW())</f>
        <v>10015</v>
      </c>
      <c r="C23" t="s" s="84">
        <v>369</v>
      </c>
      <c r="D23" t="s" s="84">
        <v>239</v>
      </c>
      <c r="E23" t="s" s="84">
        <v>249</v>
      </c>
      <c r="F23" s="110">
        <v>45812</v>
      </c>
      <c r="G23" t="s" s="84">
        <v>328</v>
      </c>
      <c r="H23" s="111">
        <v>1420</v>
      </c>
      <c r="I23" t="s" s="84">
        <v>350</v>
      </c>
      <c r="J23" t="s" s="84">
        <v>251</v>
      </c>
      <c r="K23" t="s" s="84">
        <v>252</v>
      </c>
      <c r="L23" t="s" s="84">
        <v>253</v>
      </c>
      <c r="M23" t="s" s="114">
        <v>196</v>
      </c>
      <c r="N23" t="s" s="115">
        <v>243</v>
      </c>
      <c r="O23" t="s" s="84">
        <v>162</v>
      </c>
      <c r="P23" s="134"/>
      <c r="Q23" s="134"/>
      <c r="R23" s="134"/>
      <c r="S23" s="134"/>
      <c r="T23" s="134"/>
      <c r="U23" s="128"/>
    </row>
    <row r="24" ht="96" customHeight="1">
      <c r="A24" s="119"/>
      <c r="B24" s="109" cm="1">
        <f t="array" ref="B24">IF(COUNTA(F24:H24)=0,"",9992+ROW())</f>
        <v>10016</v>
      </c>
      <c r="C24" t="s" s="84">
        <v>370</v>
      </c>
      <c r="D24" t="s" s="84">
        <v>250</v>
      </c>
      <c r="E24" t="s" s="84">
        <v>259</v>
      </c>
      <c r="F24" s="110">
        <v>45813</v>
      </c>
      <c r="G24" t="s" s="84">
        <v>330</v>
      </c>
      <c r="H24" s="111">
        <v>1430</v>
      </c>
      <c r="I24" t="s" s="84">
        <v>356</v>
      </c>
      <c r="J24" t="s" s="84">
        <v>261</v>
      </c>
      <c r="K24" t="s" s="84">
        <v>262</v>
      </c>
      <c r="L24" t="s" s="84">
        <v>263</v>
      </c>
      <c r="M24" t="s" s="114">
        <v>264</v>
      </c>
      <c r="N24" t="s" s="115">
        <v>265</v>
      </c>
      <c r="O24" t="s" s="84">
        <v>123</v>
      </c>
      <c r="P24" s="140"/>
      <c r="Q24" s="140"/>
      <c r="R24" s="140"/>
      <c r="S24" s="140"/>
      <c r="T24" s="140"/>
      <c r="U24" s="132"/>
    </row>
  </sheetData>
  <mergeCells count="2">
    <mergeCell ref="B3:C3"/>
    <mergeCell ref="B4:E4"/>
  </mergeCells>
  <dataValidations count="11">
    <dataValidation type="list" allowBlank="1" showInputMessage="1" showErrorMessage="1" sqref="E8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I8:I24">
      <formula1>"Choose option,Exporter,Reprocessor,Other"</formula1>
    </dataValidation>
    <dataValidation type="list" allowBlank="1" showInputMessage="1" showErrorMessage="1" sqref="E9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E10 E13 E16 E19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E11 E14 E17 E20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E12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E15 E22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E18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E21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E23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  <dataValidation type="list" allowBlank="1" showInputMessage="1" showErrorMessage="1" sqref="E24">
      <formula1>"Choose option,01 01 01,01 01 02,01 03 04*,01 03 05*,01 03 06,01 03 07*,01 03 08,01 03 09,01 03 99,01 04 07*,01 04 08,01 04 09,01 04 10,01 04 11,01 04 12,01 04 13,01 04 99,01 05 04,01 05 05*,01 05 06*,01 05 07,01 05 08,01 05 99,02 01 01,02 01 02,02 01 03"</formula1>
    </dataValidation>
  </dataValidations>
  <hyperlinks>
    <hyperlink ref="M8" r:id="rId1" location="" tooltip="" display="info@great.co.uk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AKA65"/>
  <sheetViews>
    <sheetView workbookViewId="0" defaultGridColor="0" colorId="10"/>
  </sheetViews>
  <sheetFormatPr defaultColWidth="7.83333" defaultRowHeight="15" customHeight="1" outlineLevelRow="0" outlineLevelCol="0"/>
  <cols>
    <col min="1" max="963" width="7.85156" style="142" customWidth="1"/>
    <col min="964" max="16384" width="7.85156" style="141" customWidth="1"/>
  </cols>
  <sheetData>
    <row r="1" s="143" customFormat="1" ht="29" customHeight="1">
      <c r="A1" t="s" s="144">
        <v>81</v>
      </c>
      <c r="B1" t="s" s="144">
        <v>371</v>
      </c>
      <c r="C1" t="s" s="144">
        <v>372</v>
      </c>
      <c r="D1" t="s" s="144">
        <v>373</v>
      </c>
      <c r="E1" t="s" s="144">
        <v>374</v>
      </c>
      <c r="F1" t="s" s="144">
        <v>375</v>
      </c>
      <c r="G1" t="s" s="144">
        <v>376</v>
      </c>
      <c r="H1" t="s" s="144">
        <v>377</v>
      </c>
      <c r="I1" t="s" s="144">
        <v>378</v>
      </c>
      <c r="J1" t="s" s="144">
        <v>379</v>
      </c>
      <c r="K1" t="s" s="144">
        <v>380</v>
      </c>
      <c r="L1" t="s" s="144">
        <v>381</v>
      </c>
      <c r="M1" t="s" s="144">
        <v>382</v>
      </c>
      <c r="N1" t="s" s="144">
        <v>383</v>
      </c>
      <c r="O1" t="s" s="144">
        <v>384</v>
      </c>
      <c r="P1" t="s" s="144">
        <v>385</v>
      </c>
      <c r="Q1" t="s" s="144">
        <v>386</v>
      </c>
      <c r="R1" t="s" s="144">
        <v>387</v>
      </c>
      <c r="S1" t="s" s="144">
        <v>388</v>
      </c>
      <c r="T1" t="s" s="144">
        <v>389</v>
      </c>
      <c r="U1" t="s" s="144">
        <v>390</v>
      </c>
      <c r="V1" t="s" s="144">
        <v>391</v>
      </c>
      <c r="W1" t="s" s="144">
        <v>392</v>
      </c>
      <c r="X1" t="s" s="144">
        <v>393</v>
      </c>
      <c r="Y1" t="s" s="144">
        <v>394</v>
      </c>
      <c r="Z1" t="s" s="144">
        <v>395</v>
      </c>
      <c r="AA1" t="s" s="144">
        <v>396</v>
      </c>
      <c r="AB1" t="s" s="144">
        <v>397</v>
      </c>
      <c r="AC1" t="s" s="144">
        <v>398</v>
      </c>
      <c r="AD1" t="s" s="144">
        <v>399</v>
      </c>
      <c r="AE1" t="s" s="144">
        <v>400</v>
      </c>
      <c r="AF1" t="s" s="144">
        <v>401</v>
      </c>
      <c r="AG1" t="s" s="144">
        <v>402</v>
      </c>
      <c r="AH1" t="s" s="144">
        <v>403</v>
      </c>
      <c r="AI1" t="s" s="144">
        <v>404</v>
      </c>
      <c r="AJ1" t="s" s="144">
        <v>405</v>
      </c>
      <c r="AK1" t="s" s="144">
        <v>406</v>
      </c>
      <c r="AL1" t="s" s="144">
        <v>407</v>
      </c>
      <c r="AM1" t="s" s="144">
        <v>408</v>
      </c>
      <c r="AN1" t="s" s="144">
        <v>409</v>
      </c>
      <c r="AO1" t="s" s="144">
        <v>410</v>
      </c>
      <c r="AP1" t="s" s="144">
        <v>411</v>
      </c>
      <c r="AQ1" t="s" s="144">
        <v>412</v>
      </c>
      <c r="AR1" t="s" s="144">
        <v>413</v>
      </c>
      <c r="AS1" t="s" s="144">
        <v>414</v>
      </c>
      <c r="AT1" t="s" s="144">
        <v>415</v>
      </c>
      <c r="AU1" t="s" s="144">
        <v>416</v>
      </c>
      <c r="AV1" t="s" s="144">
        <v>417</v>
      </c>
      <c r="AW1" t="s" s="144">
        <v>418</v>
      </c>
      <c r="AX1" t="s" s="144">
        <v>419</v>
      </c>
      <c r="AY1" t="s" s="144">
        <v>420</v>
      </c>
      <c r="AZ1" t="s" s="144">
        <v>421</v>
      </c>
      <c r="BA1" t="s" s="144">
        <v>422</v>
      </c>
      <c r="BB1" t="s" s="144">
        <v>423</v>
      </c>
      <c r="BC1" t="s" s="144">
        <v>424</v>
      </c>
      <c r="BD1" t="s" s="144">
        <v>425</v>
      </c>
      <c r="BE1" t="s" s="144">
        <v>426</v>
      </c>
      <c r="BF1" t="s" s="144">
        <v>427</v>
      </c>
      <c r="BG1" t="s" s="144">
        <v>428</v>
      </c>
      <c r="BH1" t="s" s="144">
        <v>429</v>
      </c>
      <c r="BI1" t="s" s="144">
        <v>430</v>
      </c>
      <c r="BJ1" t="s" s="144">
        <v>431</v>
      </c>
      <c r="BK1" t="s" s="144">
        <v>432</v>
      </c>
      <c r="BL1" t="s" s="144">
        <v>433</v>
      </c>
      <c r="BM1" t="s" s="144">
        <v>93</v>
      </c>
      <c r="BN1" t="s" s="144">
        <v>434</v>
      </c>
      <c r="BO1" t="s" s="144">
        <v>435</v>
      </c>
      <c r="BP1" t="s" s="144">
        <v>436</v>
      </c>
      <c r="BQ1" t="s" s="144">
        <v>437</v>
      </c>
      <c r="BR1" t="s" s="144">
        <v>438</v>
      </c>
      <c r="BS1" t="s" s="144">
        <v>439</v>
      </c>
      <c r="BT1" t="s" s="144">
        <v>440</v>
      </c>
      <c r="BU1" t="s" s="144">
        <v>441</v>
      </c>
      <c r="BV1" t="s" s="144">
        <v>442</v>
      </c>
      <c r="BW1" t="s" s="144">
        <v>443</v>
      </c>
      <c r="BX1" t="s" s="144">
        <v>249</v>
      </c>
      <c r="BY1" t="s" s="144">
        <v>139</v>
      </c>
      <c r="BZ1" t="s" s="144">
        <v>444</v>
      </c>
      <c r="CA1" t="s" s="144">
        <v>229</v>
      </c>
      <c r="CB1" t="s" s="144">
        <v>445</v>
      </c>
      <c r="CC1" t="s" s="144">
        <v>203</v>
      </c>
      <c r="CD1" t="s" s="144">
        <v>446</v>
      </c>
      <c r="CE1" t="s" s="144">
        <v>447</v>
      </c>
      <c r="CF1" t="s" s="144">
        <v>448</v>
      </c>
      <c r="CG1" t="s" s="144">
        <v>449</v>
      </c>
      <c r="CH1" t="s" s="144">
        <v>450</v>
      </c>
      <c r="CI1" t="s" s="144">
        <v>451</v>
      </c>
      <c r="CJ1" t="s" s="144">
        <v>452</v>
      </c>
      <c r="CK1" t="s" s="144">
        <v>453</v>
      </c>
      <c r="CL1" t="s" s="144">
        <v>454</v>
      </c>
      <c r="CM1" t="s" s="144">
        <v>455</v>
      </c>
      <c r="CN1" t="s" s="144">
        <v>456</v>
      </c>
      <c r="CO1" t="s" s="144">
        <v>457</v>
      </c>
      <c r="CP1" t="s" s="144">
        <v>458</v>
      </c>
      <c r="CQ1" t="s" s="144">
        <v>459</v>
      </c>
      <c r="CR1" t="s" s="144">
        <v>460</v>
      </c>
      <c r="CS1" t="s" s="144">
        <v>461</v>
      </c>
      <c r="CT1" t="s" s="144">
        <v>462</v>
      </c>
      <c r="CU1" t="s" s="144">
        <v>463</v>
      </c>
      <c r="CV1" t="s" s="144">
        <v>464</v>
      </c>
      <c r="CW1" t="s" s="144">
        <v>465</v>
      </c>
      <c r="CX1" t="s" s="144">
        <v>466</v>
      </c>
      <c r="CY1" t="s" s="145">
        <v>467</v>
      </c>
      <c r="CZ1" t="s" s="145">
        <v>468</v>
      </c>
      <c r="DA1" t="s" s="145">
        <v>469</v>
      </c>
      <c r="DB1" t="s" s="145">
        <v>470</v>
      </c>
      <c r="DC1" t="s" s="145">
        <v>471</v>
      </c>
      <c r="DD1" t="s" s="145">
        <v>472</v>
      </c>
      <c r="DE1" t="s" s="145">
        <v>473</v>
      </c>
      <c r="DF1" t="s" s="145">
        <v>474</v>
      </c>
      <c r="DG1" t="s" s="145">
        <v>475</v>
      </c>
      <c r="DH1" t="s" s="145">
        <v>476</v>
      </c>
      <c r="DI1" t="s" s="145">
        <v>477</v>
      </c>
      <c r="DJ1" t="s" s="145">
        <v>478</v>
      </c>
      <c r="DK1" t="s" s="145">
        <v>479</v>
      </c>
      <c r="DL1" t="s" s="145">
        <v>480</v>
      </c>
      <c r="DM1" t="s" s="145">
        <v>481</v>
      </c>
      <c r="DN1" t="s" s="145">
        <v>482</v>
      </c>
      <c r="DO1" t="s" s="145">
        <v>483</v>
      </c>
      <c r="DP1" t="s" s="145">
        <v>484</v>
      </c>
      <c r="DQ1" t="s" s="145">
        <v>485</v>
      </c>
      <c r="DR1" t="s" s="145">
        <v>486</v>
      </c>
      <c r="DS1" t="s" s="145">
        <v>487</v>
      </c>
      <c r="DT1" t="s" s="145">
        <v>488</v>
      </c>
      <c r="DU1" t="s" s="145">
        <v>489</v>
      </c>
      <c r="DV1" t="s" s="145">
        <v>490</v>
      </c>
      <c r="DW1" t="s" s="145">
        <v>491</v>
      </c>
      <c r="DX1" t="s" s="145">
        <v>492</v>
      </c>
      <c r="DY1" t="s" s="145">
        <v>493</v>
      </c>
      <c r="DZ1" t="s" s="145">
        <v>494</v>
      </c>
      <c r="EA1" t="s" s="145">
        <v>495</v>
      </c>
      <c r="EB1" t="s" s="145">
        <v>496</v>
      </c>
      <c r="EC1" t="s" s="145">
        <v>497</v>
      </c>
      <c r="ED1" t="s" s="145">
        <v>498</v>
      </c>
      <c r="EE1" t="s" s="145">
        <v>499</v>
      </c>
      <c r="EF1" t="s" s="145">
        <v>500</v>
      </c>
      <c r="EG1" t="s" s="145">
        <v>501</v>
      </c>
      <c r="EH1" t="s" s="145">
        <v>502</v>
      </c>
      <c r="EI1" t="s" s="145">
        <v>503</v>
      </c>
      <c r="EJ1" t="s" s="145">
        <v>504</v>
      </c>
      <c r="EK1" t="s" s="145">
        <v>505</v>
      </c>
      <c r="EL1" t="s" s="145">
        <v>506</v>
      </c>
      <c r="EM1" t="s" s="145">
        <v>507</v>
      </c>
      <c r="EN1" t="s" s="145">
        <v>508</v>
      </c>
      <c r="EO1" t="s" s="145">
        <v>509</v>
      </c>
      <c r="EP1" t="s" s="145">
        <v>510</v>
      </c>
      <c r="EQ1" t="s" s="145">
        <v>511</v>
      </c>
      <c r="ER1" t="s" s="145">
        <v>512</v>
      </c>
      <c r="ES1" t="s" s="145">
        <v>513</v>
      </c>
      <c r="ET1" t="s" s="145">
        <v>514</v>
      </c>
      <c r="EU1" t="s" s="145">
        <v>515</v>
      </c>
      <c r="EV1" t="s" s="145">
        <v>516</v>
      </c>
      <c r="EW1" t="s" s="145">
        <v>517</v>
      </c>
      <c r="EX1" t="s" s="145">
        <v>518</v>
      </c>
      <c r="EY1" t="s" s="145">
        <v>519</v>
      </c>
      <c r="EZ1" t="s" s="145">
        <v>520</v>
      </c>
      <c r="FA1" t="s" s="145">
        <v>521</v>
      </c>
      <c r="FB1" t="s" s="145">
        <v>522</v>
      </c>
      <c r="FC1" t="s" s="145">
        <v>523</v>
      </c>
      <c r="FD1" t="s" s="145">
        <v>524</v>
      </c>
      <c r="FE1" t="s" s="145">
        <v>525</v>
      </c>
      <c r="FF1" t="s" s="145">
        <v>526</v>
      </c>
      <c r="FG1" t="s" s="145">
        <v>527</v>
      </c>
      <c r="FH1" t="s" s="145">
        <v>528</v>
      </c>
      <c r="FI1" t="s" s="145">
        <v>529</v>
      </c>
      <c r="FJ1" t="s" s="145">
        <v>530</v>
      </c>
      <c r="FK1" t="s" s="145">
        <v>531</v>
      </c>
      <c r="FL1" t="s" s="145">
        <v>532</v>
      </c>
      <c r="FM1" t="s" s="145">
        <v>533</v>
      </c>
      <c r="FN1" t="s" s="145">
        <v>534</v>
      </c>
      <c r="FO1" t="s" s="145">
        <v>535</v>
      </c>
      <c r="FP1" t="s" s="145">
        <v>536</v>
      </c>
      <c r="FQ1" t="s" s="145">
        <v>537</v>
      </c>
      <c r="FR1" t="s" s="145">
        <v>538</v>
      </c>
      <c r="FS1" t="s" s="145">
        <v>539</v>
      </c>
      <c r="FT1" t="s" s="145">
        <v>540</v>
      </c>
      <c r="FU1" t="s" s="145">
        <v>541</v>
      </c>
      <c r="FV1" t="s" s="145">
        <v>542</v>
      </c>
      <c r="FW1" t="s" s="145">
        <v>543</v>
      </c>
      <c r="FX1" t="s" s="145">
        <v>544</v>
      </c>
      <c r="FY1" t="s" s="145">
        <v>545</v>
      </c>
      <c r="FZ1" t="s" s="145">
        <v>546</v>
      </c>
      <c r="GA1" t="s" s="145">
        <v>547</v>
      </c>
      <c r="GB1" t="s" s="145">
        <v>548</v>
      </c>
      <c r="GC1" t="s" s="145">
        <v>549</v>
      </c>
      <c r="GD1" t="s" s="145">
        <v>550</v>
      </c>
      <c r="GE1" t="s" s="145">
        <v>551</v>
      </c>
      <c r="GF1" t="s" s="145">
        <v>552</v>
      </c>
      <c r="GG1" t="s" s="145">
        <v>553</v>
      </c>
      <c r="GH1" t="s" s="145">
        <v>554</v>
      </c>
      <c r="GI1" t="s" s="145">
        <v>555</v>
      </c>
      <c r="GJ1" t="s" s="145">
        <v>556</v>
      </c>
      <c r="GK1" t="s" s="145">
        <v>557</v>
      </c>
      <c r="GL1" t="s" s="145">
        <v>558</v>
      </c>
      <c r="GM1" t="s" s="145">
        <v>559</v>
      </c>
      <c r="GN1" t="s" s="145">
        <v>560</v>
      </c>
      <c r="GO1" t="s" s="145">
        <v>561</v>
      </c>
      <c r="GP1" t="s" s="145">
        <v>562</v>
      </c>
      <c r="GQ1" t="s" s="145">
        <v>563</v>
      </c>
      <c r="GR1" t="s" s="145">
        <v>564</v>
      </c>
      <c r="GS1" t="s" s="145">
        <v>565</v>
      </c>
      <c r="GT1" t="s" s="145">
        <v>566</v>
      </c>
      <c r="GU1" t="s" s="145">
        <v>567</v>
      </c>
      <c r="GV1" t="s" s="145">
        <v>568</v>
      </c>
      <c r="GW1" t="s" s="145">
        <v>569</v>
      </c>
      <c r="GX1" t="s" s="145">
        <v>570</v>
      </c>
      <c r="GY1" t="s" s="145">
        <v>571</v>
      </c>
      <c r="GZ1" t="s" s="145">
        <v>572</v>
      </c>
      <c r="HA1" t="s" s="145">
        <v>573</v>
      </c>
      <c r="HB1" t="s" s="145">
        <v>574</v>
      </c>
      <c r="HC1" t="s" s="145">
        <v>575</v>
      </c>
      <c r="HD1" t="s" s="145">
        <v>576</v>
      </c>
      <c r="HE1" t="s" s="145">
        <v>577</v>
      </c>
      <c r="HF1" t="s" s="145">
        <v>578</v>
      </c>
      <c r="HG1" t="s" s="145">
        <v>579</v>
      </c>
      <c r="HH1" t="s" s="145">
        <v>580</v>
      </c>
      <c r="HI1" t="s" s="145">
        <v>581</v>
      </c>
      <c r="HJ1" t="s" s="145">
        <v>582</v>
      </c>
      <c r="HK1" t="s" s="145">
        <v>583</v>
      </c>
      <c r="HL1" t="s" s="145">
        <v>584</v>
      </c>
      <c r="HM1" t="s" s="145">
        <v>585</v>
      </c>
      <c r="HN1" t="s" s="145">
        <v>586</v>
      </c>
      <c r="HO1" t="s" s="145">
        <v>587</v>
      </c>
      <c r="HP1" t="s" s="145">
        <v>588</v>
      </c>
      <c r="HQ1" t="s" s="145">
        <v>589</v>
      </c>
      <c r="HR1" t="s" s="145">
        <v>590</v>
      </c>
      <c r="HS1" t="s" s="145">
        <v>591</v>
      </c>
      <c r="HT1" t="s" s="145">
        <v>592</v>
      </c>
      <c r="HU1" t="s" s="145">
        <v>593</v>
      </c>
      <c r="HV1" t="s" s="145">
        <v>594</v>
      </c>
      <c r="HW1" t="s" s="145">
        <v>595</v>
      </c>
      <c r="HX1" t="s" s="145">
        <v>596</v>
      </c>
      <c r="HY1" t="s" s="145">
        <v>597</v>
      </c>
      <c r="HZ1" t="s" s="145">
        <v>598</v>
      </c>
      <c r="IA1" t="s" s="145">
        <v>599</v>
      </c>
      <c r="IB1" t="s" s="145">
        <v>600</v>
      </c>
      <c r="IC1" t="s" s="145">
        <v>601</v>
      </c>
      <c r="ID1" t="s" s="145">
        <v>602</v>
      </c>
      <c r="IE1" t="s" s="145">
        <v>603</v>
      </c>
      <c r="IF1" t="s" s="145">
        <v>604</v>
      </c>
      <c r="IG1" t="s" s="145">
        <v>605</v>
      </c>
      <c r="IH1" t="s" s="145">
        <v>606</v>
      </c>
      <c r="II1" t="s" s="145">
        <v>607</v>
      </c>
      <c r="IJ1" t="s" s="145">
        <v>608</v>
      </c>
      <c r="IK1" t="s" s="145">
        <v>609</v>
      </c>
      <c r="IL1" t="s" s="145">
        <v>610</v>
      </c>
      <c r="IM1" t="s" s="145">
        <v>611</v>
      </c>
      <c r="IN1" t="s" s="145">
        <v>612</v>
      </c>
      <c r="IO1" t="s" s="145">
        <v>613</v>
      </c>
      <c r="IP1" t="s" s="145">
        <v>614</v>
      </c>
      <c r="IQ1" t="s" s="145">
        <v>615</v>
      </c>
      <c r="IR1" t="s" s="145">
        <v>616</v>
      </c>
      <c r="IS1" t="s" s="145">
        <v>617</v>
      </c>
      <c r="IT1" t="s" s="145">
        <v>618</v>
      </c>
      <c r="IU1" t="s" s="145">
        <v>619</v>
      </c>
      <c r="IV1" t="s" s="145">
        <v>620</v>
      </c>
      <c r="IW1" t="s" s="145">
        <v>621</v>
      </c>
      <c r="IX1" t="s" s="145">
        <v>622</v>
      </c>
      <c r="IY1" t="s" s="145">
        <v>623</v>
      </c>
      <c r="IZ1" t="s" s="145">
        <v>624</v>
      </c>
      <c r="JA1" t="s" s="145">
        <v>625</v>
      </c>
      <c r="JB1" t="s" s="145">
        <v>626</v>
      </c>
      <c r="JC1" t="s" s="145">
        <v>627</v>
      </c>
      <c r="JD1" t="s" s="145">
        <v>628</v>
      </c>
      <c r="JE1" t="s" s="145">
        <v>629</v>
      </c>
      <c r="JF1" t="s" s="145">
        <v>630</v>
      </c>
      <c r="JG1" t="s" s="145">
        <v>631</v>
      </c>
      <c r="JH1" t="s" s="145">
        <v>632</v>
      </c>
      <c r="JI1" t="s" s="145">
        <v>633</v>
      </c>
      <c r="JJ1" t="s" s="145">
        <v>634</v>
      </c>
      <c r="JK1" t="s" s="145">
        <v>635</v>
      </c>
      <c r="JL1" t="s" s="145">
        <v>636</v>
      </c>
      <c r="JM1" t="s" s="145">
        <v>637</v>
      </c>
      <c r="JN1" t="s" s="145">
        <v>638</v>
      </c>
      <c r="JO1" t="s" s="145">
        <v>639</v>
      </c>
      <c r="JP1" t="s" s="145">
        <v>640</v>
      </c>
      <c r="JQ1" t="s" s="145">
        <v>641</v>
      </c>
      <c r="JR1" t="s" s="145">
        <v>642</v>
      </c>
      <c r="JS1" t="s" s="145">
        <v>643</v>
      </c>
      <c r="JT1" t="s" s="145">
        <v>644</v>
      </c>
      <c r="JU1" t="s" s="145">
        <v>645</v>
      </c>
      <c r="JV1" t="s" s="145">
        <v>646</v>
      </c>
      <c r="JW1" t="s" s="145">
        <v>647</v>
      </c>
      <c r="JX1" t="s" s="145">
        <v>648</v>
      </c>
      <c r="JY1" t="s" s="145">
        <v>649</v>
      </c>
      <c r="JZ1" t="s" s="145">
        <v>650</v>
      </c>
      <c r="KA1" t="s" s="145">
        <v>651</v>
      </c>
      <c r="KB1" t="s" s="145">
        <v>652</v>
      </c>
      <c r="KC1" t="s" s="145">
        <v>653</v>
      </c>
      <c r="KD1" t="s" s="145">
        <v>654</v>
      </c>
      <c r="KE1" t="s" s="145">
        <v>655</v>
      </c>
      <c r="KF1" t="s" s="145">
        <v>656</v>
      </c>
      <c r="KG1" t="s" s="145">
        <v>657</v>
      </c>
      <c r="KH1" t="s" s="145">
        <v>658</v>
      </c>
      <c r="KI1" t="s" s="145">
        <v>659</v>
      </c>
      <c r="KJ1" t="s" s="145">
        <v>660</v>
      </c>
      <c r="KK1" t="s" s="145">
        <v>661</v>
      </c>
      <c r="KL1" t="s" s="145">
        <v>662</v>
      </c>
      <c r="KM1" t="s" s="145">
        <v>663</v>
      </c>
      <c r="KN1" t="s" s="145">
        <v>664</v>
      </c>
      <c r="KO1" t="s" s="145">
        <v>665</v>
      </c>
      <c r="KP1" t="s" s="145">
        <v>666</v>
      </c>
      <c r="KQ1" t="s" s="145">
        <v>667</v>
      </c>
      <c r="KR1" t="s" s="145">
        <v>668</v>
      </c>
      <c r="KS1" t="s" s="145">
        <v>669</v>
      </c>
      <c r="KT1" t="s" s="145">
        <v>670</v>
      </c>
      <c r="KU1" t="s" s="145">
        <v>671</v>
      </c>
      <c r="KV1" t="s" s="145">
        <v>672</v>
      </c>
      <c r="KW1" t="s" s="145">
        <v>673</v>
      </c>
      <c r="KX1" t="s" s="145">
        <v>674</v>
      </c>
      <c r="KY1" t="s" s="145">
        <v>675</v>
      </c>
      <c r="KZ1" t="s" s="145">
        <v>676</v>
      </c>
      <c r="LA1" t="s" s="145">
        <v>677</v>
      </c>
      <c r="LB1" t="s" s="145">
        <v>678</v>
      </c>
      <c r="LC1" t="s" s="145">
        <v>679</v>
      </c>
      <c r="LD1" t="s" s="145">
        <v>680</v>
      </c>
      <c r="LE1" t="s" s="145">
        <v>681</v>
      </c>
      <c r="LF1" t="s" s="145">
        <v>682</v>
      </c>
      <c r="LG1" t="s" s="145">
        <v>683</v>
      </c>
      <c r="LH1" t="s" s="145">
        <v>684</v>
      </c>
      <c r="LI1" t="s" s="145">
        <v>685</v>
      </c>
      <c r="LJ1" t="s" s="145">
        <v>686</v>
      </c>
      <c r="LK1" t="s" s="145">
        <v>687</v>
      </c>
      <c r="LL1" t="s" s="145">
        <v>688</v>
      </c>
      <c r="LM1" t="s" s="145">
        <v>689</v>
      </c>
      <c r="LN1" t="s" s="145">
        <v>690</v>
      </c>
      <c r="LO1" t="s" s="145">
        <v>691</v>
      </c>
      <c r="LP1" t="s" s="145">
        <v>692</v>
      </c>
      <c r="LQ1" t="s" s="145">
        <v>693</v>
      </c>
      <c r="LR1" t="s" s="145">
        <v>694</v>
      </c>
      <c r="LS1" t="s" s="145">
        <v>695</v>
      </c>
      <c r="LT1" t="s" s="145">
        <v>696</v>
      </c>
      <c r="LU1" t="s" s="145">
        <v>697</v>
      </c>
      <c r="LV1" t="s" s="145">
        <v>698</v>
      </c>
      <c r="LW1" t="s" s="145">
        <v>699</v>
      </c>
      <c r="LX1" t="s" s="145">
        <v>700</v>
      </c>
      <c r="LY1" t="s" s="145">
        <v>701</v>
      </c>
      <c r="LZ1" t="s" s="145">
        <v>702</v>
      </c>
      <c r="MA1" t="s" s="145">
        <v>703</v>
      </c>
      <c r="MB1" t="s" s="145">
        <v>704</v>
      </c>
      <c r="MC1" t="s" s="145">
        <v>705</v>
      </c>
      <c r="MD1" t="s" s="145">
        <v>706</v>
      </c>
      <c r="ME1" t="s" s="145">
        <v>707</v>
      </c>
      <c r="MF1" t="s" s="145">
        <v>708</v>
      </c>
      <c r="MG1" t="s" s="145">
        <v>709</v>
      </c>
      <c r="MH1" t="s" s="145">
        <v>710</v>
      </c>
      <c r="MI1" t="s" s="145">
        <v>711</v>
      </c>
      <c r="MJ1" t="s" s="145">
        <v>712</v>
      </c>
      <c r="MK1" t="s" s="145">
        <v>713</v>
      </c>
      <c r="ML1" t="s" s="145">
        <v>714</v>
      </c>
      <c r="MM1" t="s" s="145">
        <v>715</v>
      </c>
      <c r="MN1" t="s" s="145">
        <v>716</v>
      </c>
      <c r="MO1" t="s" s="145">
        <v>717</v>
      </c>
      <c r="MP1" t="s" s="145">
        <v>718</v>
      </c>
      <c r="MQ1" t="s" s="145">
        <v>719</v>
      </c>
      <c r="MR1" t="s" s="145">
        <v>720</v>
      </c>
      <c r="MS1" t="s" s="145">
        <v>721</v>
      </c>
      <c r="MT1" t="s" s="145">
        <v>722</v>
      </c>
      <c r="MU1" t="s" s="145">
        <v>723</v>
      </c>
      <c r="MV1" t="s" s="145">
        <v>724</v>
      </c>
      <c r="MW1" t="s" s="145">
        <v>725</v>
      </c>
      <c r="MX1" t="s" s="145">
        <v>726</v>
      </c>
      <c r="MY1" t="s" s="145">
        <v>727</v>
      </c>
      <c r="MZ1" t="s" s="145">
        <v>728</v>
      </c>
      <c r="NA1" t="s" s="145">
        <v>729</v>
      </c>
      <c r="NB1" t="s" s="145">
        <v>730</v>
      </c>
      <c r="NC1" t="s" s="145">
        <v>731</v>
      </c>
      <c r="ND1" t="s" s="145">
        <v>732</v>
      </c>
      <c r="NE1" t="s" s="145">
        <v>733</v>
      </c>
      <c r="NF1" t="s" s="145">
        <v>734</v>
      </c>
      <c r="NG1" t="s" s="145">
        <v>735</v>
      </c>
      <c r="NH1" t="s" s="145">
        <v>736</v>
      </c>
      <c r="NI1" t="s" s="145">
        <v>737</v>
      </c>
      <c r="NJ1" t="s" s="145">
        <v>738</v>
      </c>
      <c r="NK1" t="s" s="145">
        <v>739</v>
      </c>
      <c r="NL1" t="s" s="145">
        <v>740</v>
      </c>
      <c r="NM1" t="s" s="145">
        <v>741</v>
      </c>
      <c r="NN1" t="s" s="145">
        <v>742</v>
      </c>
      <c r="NO1" t="s" s="145">
        <v>743</v>
      </c>
      <c r="NP1" t="s" s="145">
        <v>744</v>
      </c>
      <c r="NQ1" t="s" s="145">
        <v>745</v>
      </c>
      <c r="NR1" t="s" s="145">
        <v>746</v>
      </c>
      <c r="NS1" t="s" s="145">
        <v>747</v>
      </c>
      <c r="NT1" t="s" s="145">
        <v>748</v>
      </c>
      <c r="NU1" t="s" s="145">
        <v>749</v>
      </c>
      <c r="NV1" t="s" s="145">
        <v>750</v>
      </c>
      <c r="NW1" t="s" s="145">
        <v>751</v>
      </c>
      <c r="NX1" t="s" s="145">
        <v>752</v>
      </c>
      <c r="NY1" t="s" s="145">
        <v>753</v>
      </c>
      <c r="NZ1" t="s" s="145">
        <v>754</v>
      </c>
      <c r="OA1" t="s" s="145">
        <v>755</v>
      </c>
      <c r="OB1" t="s" s="145">
        <v>756</v>
      </c>
      <c r="OC1" t="s" s="145">
        <v>757</v>
      </c>
      <c r="OD1" t="s" s="145">
        <v>758</v>
      </c>
      <c r="OE1" t="s" s="145">
        <v>759</v>
      </c>
      <c r="OF1" t="s" s="145">
        <v>760</v>
      </c>
      <c r="OG1" t="s" s="145">
        <v>761</v>
      </c>
      <c r="OH1" t="s" s="145">
        <v>762</v>
      </c>
      <c r="OI1" t="s" s="145">
        <v>763</v>
      </c>
      <c r="OJ1" t="s" s="145">
        <v>764</v>
      </c>
      <c r="OK1" t="s" s="145">
        <v>765</v>
      </c>
      <c r="OL1" t="s" s="145">
        <v>766</v>
      </c>
      <c r="OM1" t="s" s="145">
        <v>767</v>
      </c>
      <c r="ON1" t="s" s="145">
        <v>768</v>
      </c>
      <c r="OO1" t="s" s="145">
        <v>769</v>
      </c>
      <c r="OP1" t="s" s="145">
        <v>770</v>
      </c>
      <c r="OQ1" t="s" s="145">
        <v>771</v>
      </c>
      <c r="OR1" t="s" s="145">
        <v>772</v>
      </c>
      <c r="OS1" t="s" s="145">
        <v>773</v>
      </c>
      <c r="OT1" t="s" s="145">
        <v>774</v>
      </c>
      <c r="OU1" t="s" s="145">
        <v>775</v>
      </c>
      <c r="OV1" t="s" s="145">
        <v>776</v>
      </c>
      <c r="OW1" t="s" s="145">
        <v>777</v>
      </c>
      <c r="OX1" t="s" s="145">
        <v>778</v>
      </c>
      <c r="OY1" t="s" s="145">
        <v>779</v>
      </c>
      <c r="OZ1" t="s" s="145">
        <v>780</v>
      </c>
      <c r="PA1" t="s" s="145">
        <v>781</v>
      </c>
      <c r="PB1" t="s" s="145">
        <v>782</v>
      </c>
      <c r="PC1" t="s" s="145">
        <v>783</v>
      </c>
      <c r="PD1" t="s" s="145">
        <v>784</v>
      </c>
      <c r="PE1" t="s" s="145">
        <v>785</v>
      </c>
      <c r="PF1" t="s" s="145">
        <v>786</v>
      </c>
      <c r="PG1" t="s" s="145">
        <v>787</v>
      </c>
      <c r="PH1" t="s" s="145">
        <v>788</v>
      </c>
      <c r="PI1" t="s" s="145">
        <v>789</v>
      </c>
      <c r="PJ1" t="s" s="145">
        <v>790</v>
      </c>
      <c r="PK1" t="s" s="145">
        <v>791</v>
      </c>
      <c r="PL1" t="s" s="145">
        <v>792</v>
      </c>
      <c r="PM1" t="s" s="145">
        <v>793</v>
      </c>
      <c r="PN1" t="s" s="145">
        <v>794</v>
      </c>
      <c r="PO1" t="s" s="145">
        <v>795</v>
      </c>
      <c r="PP1" t="s" s="145">
        <v>796</v>
      </c>
      <c r="PQ1" t="s" s="145">
        <v>797</v>
      </c>
      <c r="PR1" t="s" s="145">
        <v>798</v>
      </c>
      <c r="PS1" t="s" s="145">
        <v>799</v>
      </c>
      <c r="PT1" t="s" s="145">
        <v>800</v>
      </c>
      <c r="PU1" t="s" s="145">
        <v>801</v>
      </c>
      <c r="PV1" t="s" s="145">
        <v>802</v>
      </c>
      <c r="PW1" t="s" s="145">
        <v>803</v>
      </c>
      <c r="PX1" t="s" s="145">
        <v>804</v>
      </c>
      <c r="PY1" t="s" s="145">
        <v>805</v>
      </c>
      <c r="PZ1" t="s" s="145">
        <v>806</v>
      </c>
      <c r="QA1" t="s" s="145">
        <v>807</v>
      </c>
      <c r="QB1" t="s" s="145">
        <v>808</v>
      </c>
      <c r="QC1" t="s" s="145">
        <v>809</v>
      </c>
      <c r="QD1" t="s" s="145">
        <v>810</v>
      </c>
      <c r="QE1" t="s" s="145">
        <v>811</v>
      </c>
      <c r="QF1" t="s" s="145">
        <v>812</v>
      </c>
      <c r="QG1" t="s" s="145">
        <v>813</v>
      </c>
      <c r="QH1" t="s" s="145">
        <v>814</v>
      </c>
      <c r="QI1" t="s" s="145">
        <v>815</v>
      </c>
      <c r="QJ1" t="s" s="145">
        <v>816</v>
      </c>
      <c r="QK1" t="s" s="145">
        <v>817</v>
      </c>
      <c r="QL1" t="s" s="145">
        <v>818</v>
      </c>
      <c r="QM1" t="s" s="145">
        <v>819</v>
      </c>
      <c r="QN1" t="s" s="145">
        <v>820</v>
      </c>
      <c r="QO1" t="s" s="145">
        <v>821</v>
      </c>
      <c r="QP1" t="s" s="145">
        <v>822</v>
      </c>
      <c r="QQ1" t="s" s="145">
        <v>823</v>
      </c>
      <c r="QR1" t="s" s="145">
        <v>824</v>
      </c>
      <c r="QS1" t="s" s="145">
        <v>825</v>
      </c>
      <c r="QT1" t="s" s="145">
        <v>826</v>
      </c>
      <c r="QU1" t="s" s="145">
        <v>827</v>
      </c>
      <c r="QV1" t="s" s="145">
        <v>828</v>
      </c>
      <c r="QW1" t="s" s="145">
        <v>829</v>
      </c>
      <c r="QX1" t="s" s="145">
        <v>830</v>
      </c>
      <c r="QY1" t="s" s="145">
        <v>831</v>
      </c>
      <c r="QZ1" t="s" s="145">
        <v>832</v>
      </c>
      <c r="RA1" t="s" s="145">
        <v>833</v>
      </c>
      <c r="RB1" t="s" s="145">
        <v>834</v>
      </c>
      <c r="RC1" t="s" s="145">
        <v>835</v>
      </c>
      <c r="RD1" t="s" s="145">
        <v>836</v>
      </c>
      <c r="RE1" t="s" s="145">
        <v>837</v>
      </c>
      <c r="RF1" t="s" s="145">
        <v>838</v>
      </c>
      <c r="RG1" t="s" s="145">
        <v>839</v>
      </c>
      <c r="RH1" t="s" s="145">
        <v>840</v>
      </c>
      <c r="RI1" t="s" s="145">
        <v>841</v>
      </c>
      <c r="RJ1" t="s" s="145">
        <v>842</v>
      </c>
      <c r="RK1" t="s" s="145">
        <v>843</v>
      </c>
      <c r="RL1" t="s" s="145">
        <v>844</v>
      </c>
      <c r="RM1" t="s" s="145">
        <v>845</v>
      </c>
      <c r="RN1" t="s" s="145">
        <v>846</v>
      </c>
      <c r="RO1" t="s" s="145">
        <v>847</v>
      </c>
      <c r="RP1" t="s" s="145">
        <v>848</v>
      </c>
      <c r="RQ1" t="s" s="145">
        <v>849</v>
      </c>
      <c r="RR1" t="s" s="145">
        <v>850</v>
      </c>
      <c r="RS1" t="s" s="145">
        <v>851</v>
      </c>
      <c r="RT1" t="s" s="145">
        <v>852</v>
      </c>
      <c r="RU1" t="s" s="145">
        <v>853</v>
      </c>
      <c r="RV1" t="s" s="145">
        <v>854</v>
      </c>
      <c r="RW1" t="s" s="145">
        <v>855</v>
      </c>
      <c r="RX1" t="s" s="145">
        <v>856</v>
      </c>
      <c r="RY1" t="s" s="145">
        <v>857</v>
      </c>
      <c r="RZ1" t="s" s="145">
        <v>858</v>
      </c>
      <c r="SA1" t="s" s="145">
        <v>859</v>
      </c>
      <c r="SB1" t="s" s="145">
        <v>860</v>
      </c>
      <c r="SC1" t="s" s="145">
        <v>861</v>
      </c>
      <c r="SD1" t="s" s="145">
        <v>862</v>
      </c>
      <c r="SE1" t="s" s="145">
        <v>863</v>
      </c>
      <c r="SF1" t="s" s="145">
        <v>864</v>
      </c>
      <c r="SG1" t="s" s="145">
        <v>865</v>
      </c>
      <c r="SH1" t="s" s="145">
        <v>866</v>
      </c>
      <c r="SI1" t="s" s="145">
        <v>867</v>
      </c>
      <c r="SJ1" t="s" s="145">
        <v>868</v>
      </c>
      <c r="SK1" t="s" s="145">
        <v>869</v>
      </c>
      <c r="SL1" t="s" s="145">
        <v>870</v>
      </c>
      <c r="SM1" t="s" s="145">
        <v>871</v>
      </c>
      <c r="SN1" t="s" s="145">
        <v>872</v>
      </c>
      <c r="SO1" t="s" s="145">
        <v>873</v>
      </c>
      <c r="SP1" t="s" s="145">
        <v>874</v>
      </c>
      <c r="SQ1" t="s" s="145">
        <v>875</v>
      </c>
      <c r="SR1" t="s" s="145">
        <v>876</v>
      </c>
      <c r="SS1" t="s" s="145">
        <v>877</v>
      </c>
      <c r="ST1" t="s" s="145">
        <v>878</v>
      </c>
      <c r="SU1" t="s" s="145">
        <v>879</v>
      </c>
      <c r="SV1" t="s" s="145">
        <v>880</v>
      </c>
      <c r="SW1" t="s" s="145">
        <v>881</v>
      </c>
      <c r="SX1" t="s" s="145">
        <v>882</v>
      </c>
      <c r="SY1" t="s" s="145">
        <v>883</v>
      </c>
      <c r="SZ1" t="s" s="145">
        <v>884</v>
      </c>
      <c r="TA1" t="s" s="145">
        <v>885</v>
      </c>
      <c r="TB1" t="s" s="145">
        <v>886</v>
      </c>
      <c r="TC1" t="s" s="145">
        <v>887</v>
      </c>
      <c r="TD1" t="s" s="145">
        <v>888</v>
      </c>
      <c r="TE1" t="s" s="145">
        <v>889</v>
      </c>
      <c r="TF1" t="s" s="145">
        <v>890</v>
      </c>
      <c r="TG1" t="s" s="145">
        <v>891</v>
      </c>
      <c r="TH1" t="s" s="145">
        <v>892</v>
      </c>
      <c r="TI1" t="s" s="145">
        <v>893</v>
      </c>
      <c r="TJ1" t="s" s="145">
        <v>894</v>
      </c>
      <c r="TK1" t="s" s="145">
        <v>895</v>
      </c>
      <c r="TL1" t="s" s="145">
        <v>896</v>
      </c>
      <c r="TM1" t="s" s="145">
        <v>897</v>
      </c>
      <c r="TN1" t="s" s="145">
        <v>898</v>
      </c>
      <c r="TO1" t="s" s="145">
        <v>899</v>
      </c>
      <c r="TP1" t="s" s="145">
        <v>900</v>
      </c>
      <c r="TQ1" t="s" s="145">
        <v>901</v>
      </c>
      <c r="TR1" t="s" s="145">
        <v>902</v>
      </c>
      <c r="TS1" t="s" s="145">
        <v>903</v>
      </c>
      <c r="TT1" t="s" s="145">
        <v>904</v>
      </c>
      <c r="TU1" t="s" s="145">
        <v>905</v>
      </c>
      <c r="TV1" t="s" s="145">
        <v>906</v>
      </c>
      <c r="TW1" t="s" s="145">
        <v>907</v>
      </c>
      <c r="TX1" t="s" s="145">
        <v>908</v>
      </c>
      <c r="TY1" t="s" s="145">
        <v>909</v>
      </c>
      <c r="TZ1" t="s" s="145">
        <v>910</v>
      </c>
      <c r="UA1" t="s" s="145">
        <v>911</v>
      </c>
      <c r="UB1" t="s" s="145">
        <v>912</v>
      </c>
      <c r="UC1" t="s" s="145">
        <v>913</v>
      </c>
      <c r="UD1" t="s" s="145">
        <v>914</v>
      </c>
      <c r="UE1" t="s" s="145">
        <v>915</v>
      </c>
      <c r="UF1" t="s" s="145">
        <v>916</v>
      </c>
      <c r="UG1" t="s" s="145">
        <v>917</v>
      </c>
      <c r="UH1" t="s" s="145">
        <v>918</v>
      </c>
      <c r="UI1" t="s" s="145">
        <v>919</v>
      </c>
      <c r="UJ1" t="s" s="145">
        <v>920</v>
      </c>
      <c r="UK1" t="s" s="145">
        <v>921</v>
      </c>
      <c r="UL1" t="s" s="145">
        <v>922</v>
      </c>
      <c r="UM1" t="s" s="145">
        <v>173</v>
      </c>
      <c r="UN1" t="s" s="145">
        <v>923</v>
      </c>
      <c r="UO1" t="s" s="145">
        <v>924</v>
      </c>
      <c r="UP1" t="s" s="145">
        <v>925</v>
      </c>
      <c r="UQ1" t="s" s="145">
        <v>926</v>
      </c>
      <c r="UR1" t="s" s="145">
        <v>927</v>
      </c>
      <c r="US1" t="s" s="145">
        <v>928</v>
      </c>
      <c r="UT1" t="s" s="145">
        <v>929</v>
      </c>
      <c r="UU1" t="s" s="145">
        <v>930</v>
      </c>
      <c r="UV1" t="s" s="145">
        <v>931</v>
      </c>
      <c r="UW1" t="s" s="145">
        <v>932</v>
      </c>
      <c r="UX1" t="s" s="145">
        <v>933</v>
      </c>
      <c r="UY1" t="s" s="145">
        <v>934</v>
      </c>
      <c r="UZ1" t="s" s="145">
        <v>935</v>
      </c>
      <c r="VA1" t="s" s="145">
        <v>936</v>
      </c>
      <c r="VB1" t="s" s="145">
        <v>937</v>
      </c>
      <c r="VC1" t="s" s="145">
        <v>938</v>
      </c>
      <c r="VD1" t="s" s="145">
        <v>939</v>
      </c>
      <c r="VE1" t="s" s="145">
        <v>940</v>
      </c>
      <c r="VF1" t="s" s="145">
        <v>941</v>
      </c>
      <c r="VG1" t="s" s="145">
        <v>942</v>
      </c>
      <c r="VH1" t="s" s="145">
        <v>943</v>
      </c>
      <c r="VI1" t="s" s="145">
        <v>944</v>
      </c>
      <c r="VJ1" t="s" s="145">
        <v>945</v>
      </c>
      <c r="VK1" t="s" s="145">
        <v>946</v>
      </c>
      <c r="VL1" t="s" s="145">
        <v>947</v>
      </c>
      <c r="VM1" t="s" s="145">
        <v>948</v>
      </c>
      <c r="VN1" t="s" s="145">
        <v>949</v>
      </c>
      <c r="VO1" t="s" s="145">
        <v>950</v>
      </c>
      <c r="VP1" t="s" s="145">
        <v>951</v>
      </c>
      <c r="VQ1" t="s" s="145">
        <v>952</v>
      </c>
      <c r="VR1" t="s" s="145">
        <v>953</v>
      </c>
      <c r="VS1" t="s" s="145">
        <v>954</v>
      </c>
      <c r="VT1" t="s" s="145">
        <v>955</v>
      </c>
      <c r="VU1" t="s" s="145">
        <v>956</v>
      </c>
      <c r="VV1" t="s" s="145">
        <v>957</v>
      </c>
      <c r="VW1" t="s" s="145">
        <v>958</v>
      </c>
      <c r="VX1" t="s" s="145">
        <v>959</v>
      </c>
      <c r="VY1" t="s" s="145">
        <v>960</v>
      </c>
      <c r="VZ1" t="s" s="145">
        <v>961</v>
      </c>
      <c r="WA1" t="s" s="145">
        <v>962</v>
      </c>
      <c r="WB1" t="s" s="145">
        <v>963</v>
      </c>
      <c r="WC1" t="s" s="145">
        <v>964</v>
      </c>
      <c r="WD1" t="s" s="145">
        <v>965</v>
      </c>
      <c r="WE1" t="s" s="145">
        <v>966</v>
      </c>
      <c r="WF1" t="s" s="145">
        <v>967</v>
      </c>
      <c r="WG1" t="s" s="145">
        <v>968</v>
      </c>
      <c r="WH1" t="s" s="145">
        <v>969</v>
      </c>
      <c r="WI1" t="s" s="145">
        <v>970</v>
      </c>
      <c r="WJ1" t="s" s="145">
        <v>971</v>
      </c>
      <c r="WK1" t="s" s="145">
        <v>972</v>
      </c>
      <c r="WL1" t="s" s="145">
        <v>973</v>
      </c>
      <c r="WM1" t="s" s="145">
        <v>974</v>
      </c>
      <c r="WN1" t="s" s="145">
        <v>975</v>
      </c>
      <c r="WO1" t="s" s="145">
        <v>976</v>
      </c>
      <c r="WP1" t="s" s="145">
        <v>977</v>
      </c>
      <c r="WQ1" t="s" s="145">
        <v>978</v>
      </c>
      <c r="WR1" t="s" s="145">
        <v>979</v>
      </c>
      <c r="WS1" t="s" s="145">
        <v>980</v>
      </c>
      <c r="WT1" t="s" s="145">
        <v>981</v>
      </c>
      <c r="WU1" t="s" s="145">
        <v>982</v>
      </c>
      <c r="WV1" t="s" s="145">
        <v>983</v>
      </c>
      <c r="WW1" t="s" s="145">
        <v>984</v>
      </c>
      <c r="WX1" t="s" s="145">
        <v>985</v>
      </c>
      <c r="WY1" t="s" s="145">
        <v>986</v>
      </c>
      <c r="WZ1" t="s" s="145">
        <v>987</v>
      </c>
      <c r="XA1" t="s" s="145">
        <v>988</v>
      </c>
      <c r="XB1" t="s" s="145">
        <v>989</v>
      </c>
      <c r="XC1" t="s" s="145">
        <v>990</v>
      </c>
      <c r="XD1" t="s" s="145">
        <v>991</v>
      </c>
      <c r="XE1" t="s" s="145">
        <v>992</v>
      </c>
      <c r="XF1" t="s" s="145">
        <v>993</v>
      </c>
      <c r="XG1" t="s" s="145">
        <v>994</v>
      </c>
      <c r="XH1" t="s" s="145">
        <v>995</v>
      </c>
      <c r="XI1" t="s" s="145">
        <v>996</v>
      </c>
      <c r="XJ1" t="s" s="145">
        <v>997</v>
      </c>
      <c r="XK1" t="s" s="145">
        <v>998</v>
      </c>
      <c r="XL1" t="s" s="145">
        <v>999</v>
      </c>
      <c r="XM1" t="s" s="145">
        <v>1000</v>
      </c>
      <c r="XN1" t="s" s="145">
        <v>1001</v>
      </c>
      <c r="XO1" t="s" s="145">
        <v>1002</v>
      </c>
      <c r="XP1" t="s" s="145">
        <v>1003</v>
      </c>
      <c r="XQ1" t="s" s="145">
        <v>1004</v>
      </c>
      <c r="XR1" t="s" s="145">
        <v>1005</v>
      </c>
      <c r="XS1" t="s" s="145">
        <v>1006</v>
      </c>
      <c r="XT1" t="s" s="145">
        <v>1007</v>
      </c>
      <c r="XU1" t="s" s="145">
        <v>1008</v>
      </c>
      <c r="XV1" t="s" s="145">
        <v>1009</v>
      </c>
      <c r="XW1" t="s" s="145">
        <v>1010</v>
      </c>
      <c r="XX1" t="s" s="145">
        <v>1011</v>
      </c>
      <c r="XY1" t="s" s="145">
        <v>1012</v>
      </c>
      <c r="XZ1" t="s" s="145">
        <v>1013</v>
      </c>
      <c r="YA1" t="s" s="145">
        <v>1014</v>
      </c>
      <c r="YB1" t="s" s="145">
        <v>1015</v>
      </c>
      <c r="YC1" t="s" s="145">
        <v>1016</v>
      </c>
      <c r="YD1" t="s" s="145">
        <v>1017</v>
      </c>
      <c r="YE1" t="s" s="145">
        <v>1018</v>
      </c>
      <c r="YF1" t="s" s="145">
        <v>1019</v>
      </c>
      <c r="YG1" t="s" s="145">
        <v>1020</v>
      </c>
      <c r="YH1" t="s" s="145">
        <v>1021</v>
      </c>
      <c r="YI1" t="s" s="145">
        <v>1022</v>
      </c>
      <c r="YJ1" t="s" s="145">
        <v>1023</v>
      </c>
      <c r="YK1" t="s" s="145">
        <v>1024</v>
      </c>
      <c r="YL1" t="s" s="145">
        <v>1025</v>
      </c>
      <c r="YM1" t="s" s="145">
        <v>1026</v>
      </c>
      <c r="YN1" t="s" s="145">
        <v>1027</v>
      </c>
      <c r="YO1" t="s" s="145">
        <v>1028</v>
      </c>
      <c r="YP1" t="s" s="145">
        <v>1029</v>
      </c>
      <c r="YQ1" t="s" s="145">
        <v>1030</v>
      </c>
      <c r="YR1" t="s" s="145">
        <v>1031</v>
      </c>
      <c r="YS1" t="s" s="145">
        <v>1032</v>
      </c>
      <c r="YT1" t="s" s="145">
        <v>1033</v>
      </c>
      <c r="YU1" t="s" s="145">
        <v>1034</v>
      </c>
      <c r="YV1" t="s" s="145">
        <v>1035</v>
      </c>
      <c r="YW1" t="s" s="145">
        <v>1036</v>
      </c>
      <c r="YX1" t="s" s="145">
        <v>1037</v>
      </c>
      <c r="YY1" t="s" s="145">
        <v>1038</v>
      </c>
      <c r="YZ1" t="s" s="145">
        <v>1039</v>
      </c>
      <c r="ZA1" t="s" s="145">
        <v>1040</v>
      </c>
      <c r="ZB1" t="s" s="145">
        <v>1041</v>
      </c>
      <c r="ZC1" t="s" s="145">
        <v>1042</v>
      </c>
      <c r="ZD1" t="s" s="145">
        <v>1043</v>
      </c>
      <c r="ZE1" t="s" s="145">
        <v>1044</v>
      </c>
      <c r="ZF1" t="s" s="145">
        <v>1045</v>
      </c>
      <c r="ZG1" t="s" s="145">
        <v>1046</v>
      </c>
      <c r="ZH1" t="s" s="145">
        <v>1047</v>
      </c>
      <c r="ZI1" t="s" s="145">
        <v>1048</v>
      </c>
      <c r="ZJ1" t="s" s="145">
        <v>1049</v>
      </c>
      <c r="ZK1" t="s" s="145">
        <v>1050</v>
      </c>
      <c r="ZL1" t="s" s="145">
        <v>1051</v>
      </c>
      <c r="ZM1" t="s" s="145">
        <v>1052</v>
      </c>
      <c r="ZN1" t="s" s="145">
        <v>1053</v>
      </c>
      <c r="ZO1" t="s" s="145">
        <v>1054</v>
      </c>
      <c r="ZP1" t="s" s="145">
        <v>1055</v>
      </c>
      <c r="ZQ1" t="s" s="145">
        <v>1056</v>
      </c>
      <c r="ZR1" t="s" s="145">
        <v>1057</v>
      </c>
      <c r="ZS1" t="s" s="145">
        <v>1058</v>
      </c>
      <c r="ZT1" t="s" s="145">
        <v>1059</v>
      </c>
      <c r="ZU1" t="s" s="145">
        <v>1060</v>
      </c>
      <c r="ZV1" t="s" s="145">
        <v>1061</v>
      </c>
      <c r="ZW1" t="s" s="145">
        <v>1062</v>
      </c>
      <c r="ZX1" t="s" s="145">
        <v>1063</v>
      </c>
      <c r="ZY1" t="s" s="145">
        <v>1064</v>
      </c>
      <c r="ZZ1" t="s" s="145">
        <v>1065</v>
      </c>
      <c r="AAA1" t="s" s="145">
        <v>1066</v>
      </c>
      <c r="AAB1" t="s" s="145">
        <v>1067</v>
      </c>
      <c r="AAC1" t="s" s="145">
        <v>1068</v>
      </c>
      <c r="AAD1" t="s" s="145">
        <v>1069</v>
      </c>
      <c r="AAE1" t="s" s="145">
        <v>1070</v>
      </c>
      <c r="AAF1" t="s" s="145">
        <v>1071</v>
      </c>
      <c r="AAG1" t="s" s="145">
        <v>1072</v>
      </c>
      <c r="AAH1" t="s" s="145">
        <v>1073</v>
      </c>
      <c r="AAI1" t="s" s="145">
        <v>1074</v>
      </c>
      <c r="AAJ1" t="s" s="145">
        <v>1075</v>
      </c>
      <c r="AAK1" t="s" s="145">
        <v>1076</v>
      </c>
      <c r="AAL1" t="s" s="145">
        <v>1077</v>
      </c>
      <c r="AAM1" t="s" s="145">
        <v>1078</v>
      </c>
      <c r="AAN1" t="s" s="145">
        <v>1079</v>
      </c>
      <c r="AAO1" t="s" s="145">
        <v>1080</v>
      </c>
      <c r="AAP1" t="s" s="145">
        <v>1081</v>
      </c>
      <c r="AAQ1" t="s" s="145">
        <v>1082</v>
      </c>
      <c r="AAR1" t="s" s="145">
        <v>1083</v>
      </c>
      <c r="AAS1" t="s" s="145">
        <v>1084</v>
      </c>
      <c r="AAT1" t="s" s="145">
        <v>1085</v>
      </c>
      <c r="AAU1" t="s" s="145">
        <v>1086</v>
      </c>
      <c r="AAV1" t="s" s="145">
        <v>1087</v>
      </c>
      <c r="AAW1" t="s" s="145">
        <v>1088</v>
      </c>
      <c r="AAX1" t="s" s="145">
        <v>1089</v>
      </c>
      <c r="AAY1" t="s" s="145">
        <v>1090</v>
      </c>
      <c r="AAZ1" t="s" s="145">
        <v>1091</v>
      </c>
      <c r="ABA1" t="s" s="145">
        <v>1092</v>
      </c>
      <c r="ABB1" t="s" s="145">
        <v>1093</v>
      </c>
      <c r="ABC1" t="s" s="145">
        <v>1094</v>
      </c>
      <c r="ABD1" t="s" s="145">
        <v>1095</v>
      </c>
      <c r="ABE1" t="s" s="145">
        <v>1096</v>
      </c>
      <c r="ABF1" t="s" s="145">
        <v>1097</v>
      </c>
      <c r="ABG1" t="s" s="145">
        <v>1098</v>
      </c>
      <c r="ABH1" t="s" s="145">
        <v>1099</v>
      </c>
      <c r="ABI1" t="s" s="145">
        <v>1100</v>
      </c>
      <c r="ABJ1" t="s" s="145">
        <v>1101</v>
      </c>
      <c r="ABK1" t="s" s="145">
        <v>1102</v>
      </c>
      <c r="ABL1" t="s" s="145">
        <v>1103</v>
      </c>
      <c r="ABM1" t="s" s="145">
        <v>1104</v>
      </c>
      <c r="ABN1" t="s" s="145">
        <v>1105</v>
      </c>
      <c r="ABO1" t="s" s="145">
        <v>1106</v>
      </c>
      <c r="ABP1" t="s" s="145">
        <v>1107</v>
      </c>
      <c r="ABQ1" t="s" s="145">
        <v>1108</v>
      </c>
      <c r="ABR1" t="s" s="145">
        <v>1109</v>
      </c>
      <c r="ABS1" t="s" s="145">
        <v>1110</v>
      </c>
      <c r="ABT1" t="s" s="145">
        <v>1111</v>
      </c>
      <c r="ABU1" t="s" s="145">
        <v>1112</v>
      </c>
      <c r="ABV1" t="s" s="145">
        <v>1113</v>
      </c>
      <c r="ABW1" t="s" s="145">
        <v>1114</v>
      </c>
      <c r="ABX1" t="s" s="145">
        <v>1115</v>
      </c>
      <c r="ABY1" t="s" s="145">
        <v>1116</v>
      </c>
      <c r="ABZ1" t="s" s="145">
        <v>1117</v>
      </c>
      <c r="ACA1" t="s" s="145">
        <v>1118</v>
      </c>
      <c r="ACB1" t="s" s="145">
        <v>1119</v>
      </c>
      <c r="ACC1" t="s" s="145">
        <v>1120</v>
      </c>
      <c r="ACD1" t="s" s="145">
        <v>1121</v>
      </c>
      <c r="ACE1" t="s" s="145">
        <v>1122</v>
      </c>
      <c r="ACF1" t="s" s="145">
        <v>1123</v>
      </c>
      <c r="ACG1" t="s" s="145">
        <v>1124</v>
      </c>
      <c r="ACH1" t="s" s="145">
        <v>1125</v>
      </c>
      <c r="ACI1" t="s" s="145">
        <v>1126</v>
      </c>
      <c r="ACJ1" t="s" s="145">
        <v>1127</v>
      </c>
      <c r="ACK1" t="s" s="145">
        <v>1128</v>
      </c>
      <c r="ACL1" t="s" s="145">
        <v>1129</v>
      </c>
      <c r="ACM1" t="s" s="145">
        <v>1130</v>
      </c>
      <c r="ACN1" t="s" s="145">
        <v>1131</v>
      </c>
      <c r="ACO1" t="s" s="145">
        <v>1132</v>
      </c>
      <c r="ACP1" t="s" s="145">
        <v>1133</v>
      </c>
      <c r="ACQ1" t="s" s="145">
        <v>1134</v>
      </c>
      <c r="ACR1" t="s" s="145">
        <v>1135</v>
      </c>
      <c r="ACS1" t="s" s="145">
        <v>1136</v>
      </c>
      <c r="ACT1" t="s" s="145">
        <v>1137</v>
      </c>
      <c r="ACU1" t="s" s="145">
        <v>1138</v>
      </c>
      <c r="ACV1" t="s" s="145">
        <v>1139</v>
      </c>
      <c r="ACW1" t="s" s="145">
        <v>1140</v>
      </c>
      <c r="ACX1" t="s" s="145">
        <v>1141</v>
      </c>
      <c r="ACY1" t="s" s="145">
        <v>1142</v>
      </c>
      <c r="ACZ1" t="s" s="145">
        <v>1143</v>
      </c>
      <c r="ADA1" t="s" s="145">
        <v>1144</v>
      </c>
      <c r="ADB1" t="s" s="145">
        <v>1145</v>
      </c>
      <c r="ADC1" t="s" s="145">
        <v>1146</v>
      </c>
      <c r="ADD1" t="s" s="145">
        <v>1147</v>
      </c>
      <c r="ADE1" t="s" s="145">
        <v>1148</v>
      </c>
      <c r="ADF1" t="s" s="145">
        <v>1149</v>
      </c>
      <c r="ADG1" t="s" s="145">
        <v>1150</v>
      </c>
      <c r="ADH1" t="s" s="145">
        <v>1151</v>
      </c>
      <c r="ADI1" t="s" s="145">
        <v>1152</v>
      </c>
      <c r="ADJ1" t="s" s="145">
        <v>1153</v>
      </c>
      <c r="ADK1" t="s" s="145">
        <v>1154</v>
      </c>
      <c r="ADL1" t="s" s="145">
        <v>1155</v>
      </c>
      <c r="ADM1" t="s" s="145">
        <v>1156</v>
      </c>
      <c r="ADN1" t="s" s="145">
        <v>1157</v>
      </c>
      <c r="ADO1" t="s" s="145">
        <v>1158</v>
      </c>
      <c r="ADP1" t="s" s="145">
        <v>1159</v>
      </c>
      <c r="ADQ1" t="s" s="145">
        <v>1160</v>
      </c>
      <c r="ADR1" t="s" s="145">
        <v>1161</v>
      </c>
      <c r="ADS1" t="s" s="145">
        <v>1162</v>
      </c>
      <c r="ADT1" t="s" s="145">
        <v>1163</v>
      </c>
      <c r="ADU1" t="s" s="145">
        <v>1164</v>
      </c>
      <c r="ADV1" t="s" s="145">
        <v>1165</v>
      </c>
      <c r="ADW1" t="s" s="145">
        <v>1166</v>
      </c>
      <c r="ADX1" t="s" s="145">
        <v>1167</v>
      </c>
      <c r="ADY1" t="s" s="145">
        <v>1168</v>
      </c>
      <c r="ADZ1" t="s" s="145">
        <v>1169</v>
      </c>
      <c r="AEA1" t="s" s="145">
        <v>1170</v>
      </c>
      <c r="AEB1" t="s" s="145">
        <v>1171</v>
      </c>
      <c r="AEC1" t="s" s="145">
        <v>1172</v>
      </c>
      <c r="AED1" t="s" s="145">
        <v>1173</v>
      </c>
      <c r="AEE1" t="s" s="145">
        <v>1174</v>
      </c>
      <c r="AEF1" t="s" s="145">
        <v>1175</v>
      </c>
      <c r="AEG1" t="s" s="145">
        <v>1176</v>
      </c>
      <c r="AEH1" t="s" s="145">
        <v>1177</v>
      </c>
      <c r="AEI1" t="s" s="145">
        <v>1178</v>
      </c>
      <c r="AEJ1" t="s" s="145">
        <v>1179</v>
      </c>
      <c r="AEK1" t="s" s="145">
        <v>1180</v>
      </c>
      <c r="AEL1" t="s" s="145">
        <v>1181</v>
      </c>
      <c r="AEM1" t="s" s="145">
        <v>1182</v>
      </c>
      <c r="AEN1" t="s" s="145">
        <v>259</v>
      </c>
      <c r="AEO1" t="s" s="145">
        <v>1183</v>
      </c>
      <c r="AEP1" t="s" s="145">
        <v>1184</v>
      </c>
      <c r="AEQ1" t="s" s="145">
        <v>1185</v>
      </c>
      <c r="AER1" t="s" s="145">
        <v>1186</v>
      </c>
      <c r="AES1" t="s" s="145">
        <v>1187</v>
      </c>
      <c r="AET1" t="s" s="145">
        <v>1188</v>
      </c>
      <c r="AEU1" t="s" s="145">
        <v>1189</v>
      </c>
      <c r="AEV1" t="s" s="145">
        <v>1190</v>
      </c>
      <c r="AEW1" t="s" s="145">
        <v>1191</v>
      </c>
      <c r="AEX1" t="s" s="145">
        <v>1192</v>
      </c>
      <c r="AEY1" t="s" s="145">
        <v>1193</v>
      </c>
      <c r="AEZ1" t="s" s="145">
        <v>1194</v>
      </c>
      <c r="AFA1" t="s" s="145">
        <v>1195</v>
      </c>
      <c r="AFC1" s="146"/>
      <c r="AFD1" s="147"/>
      <c r="AFE1" s="146"/>
      <c r="AFF1" s="146"/>
      <c r="AFG1" s="146"/>
      <c r="AFH1" s="146"/>
      <c r="AFI1" s="147"/>
      <c r="AFJ1" s="146"/>
      <c r="AFK1" s="146"/>
      <c r="AFL1" s="146"/>
      <c r="AFM1" s="146"/>
      <c r="AFN1" s="147"/>
      <c r="AFO1" s="146"/>
      <c r="AFP1" s="146"/>
      <c r="AFQ1" s="146"/>
      <c r="AFR1" s="146"/>
      <c r="AFS1" s="147"/>
      <c r="AFT1" s="146"/>
      <c r="AFU1" s="146"/>
      <c r="AFV1" s="146"/>
      <c r="AFW1" s="146"/>
      <c r="AFX1" s="146"/>
      <c r="AFY1" s="147"/>
      <c r="AFZ1" s="146"/>
      <c r="AGA1" s="146"/>
      <c r="AGB1" s="147"/>
      <c r="AGC1" s="146"/>
      <c r="AGD1" s="146"/>
      <c r="AGE1" s="146"/>
      <c r="AGF1" s="146"/>
      <c r="AGG1" s="146"/>
      <c r="AGH1" s="146"/>
      <c r="AGI1" s="146"/>
      <c r="AGJ1" s="146"/>
      <c r="AGK1" s="146"/>
      <c r="AGL1" s="146"/>
      <c r="AGM1" s="146"/>
      <c r="AGN1" s="146"/>
      <c r="AGO1" s="146"/>
      <c r="AGP1" s="147"/>
      <c r="AGQ1" s="146"/>
      <c r="AGR1" s="146"/>
      <c r="AGS1" s="146"/>
      <c r="AGT1" s="146"/>
      <c r="AGU1" s="146"/>
      <c r="AGV1" s="146"/>
      <c r="AGW1" s="146"/>
      <c r="AGX1" s="147"/>
      <c r="AGY1" s="146"/>
      <c r="AGZ1" s="146"/>
      <c r="AHA1" s="146"/>
      <c r="AHB1" s="146"/>
      <c r="AHC1" s="146"/>
      <c r="AHD1" s="146"/>
      <c r="AHE1" s="147"/>
      <c r="AHF1" s="146"/>
      <c r="AHG1" s="146"/>
      <c r="AHH1" s="146"/>
      <c r="AHI1" s="146"/>
      <c r="AHJ1" s="146"/>
      <c r="AHK1" s="146"/>
      <c r="AHL1" s="146"/>
      <c r="AHM1" s="146"/>
      <c r="AHN1" s="147"/>
      <c r="AHO1" s="146"/>
      <c r="AHP1" s="146"/>
      <c r="AHQ1" s="146"/>
      <c r="AHR1" s="146"/>
      <c r="AHS1" s="146"/>
      <c r="AHT1" s="146"/>
      <c r="AHU1" s="146"/>
      <c r="AHV1" s="146"/>
      <c r="AHW1" s="146"/>
      <c r="AHX1" s="146"/>
      <c r="AHY1" s="146"/>
      <c r="AHZ1" s="146"/>
      <c r="AIA1" s="147"/>
      <c r="AIB1" s="146"/>
      <c r="AIC1" s="146"/>
      <c r="AID1" s="146"/>
      <c r="AIE1" s="146"/>
      <c r="AIF1" s="146"/>
      <c r="AIG1" s="146"/>
      <c r="AIH1" s="146"/>
      <c r="AII1" s="148"/>
      <c r="AIJ1" s="149"/>
      <c r="AIK1" s="150"/>
      <c r="AIL1" s="146"/>
      <c r="AIM1" s="146"/>
      <c r="AIN1" s="146"/>
      <c r="AIO1" s="146"/>
      <c r="AIP1" s="146"/>
      <c r="AIQ1" s="146"/>
      <c r="AIR1" s="146"/>
      <c r="AIS1" s="146"/>
      <c r="AIT1" s="146"/>
      <c r="AIU1" s="146"/>
      <c r="AIV1" s="146"/>
      <c r="AIW1" s="146"/>
      <c r="AIX1" s="146"/>
      <c r="AIY1" s="146"/>
      <c r="AIZ1" s="146"/>
      <c r="AJA1" s="146"/>
      <c r="AJB1" s="146"/>
      <c r="AJC1" s="146"/>
      <c r="AJD1" s="146"/>
      <c r="AJE1" s="146"/>
      <c r="AJF1" s="146"/>
      <c r="AJG1" s="146"/>
      <c r="AJH1" s="146"/>
      <c r="AJI1" s="146"/>
      <c r="AJJ1" s="146"/>
      <c r="AJK1" s="146"/>
      <c r="AJL1" s="146"/>
      <c r="AJM1" s="146"/>
      <c r="AJN1" s="146"/>
      <c r="AJO1" s="146"/>
      <c r="AJP1" s="147"/>
      <c r="AJQ1" s="146"/>
      <c r="AJR1" s="146"/>
      <c r="AJS1" s="146"/>
      <c r="AJT1" s="147"/>
      <c r="AJU1" s="146"/>
      <c r="AJV1" s="146"/>
      <c r="AJW1" s="146"/>
      <c r="AJX1" s="146"/>
      <c r="AJY1" s="146"/>
      <c r="AJZ1" s="146"/>
      <c r="AKA1" s="146"/>
    </row>
    <row r="2" s="143" customFormat="1" ht="17" customHeight="1">
      <c r="A2" t="s" s="144">
        <v>81</v>
      </c>
      <c r="B2" t="s" s="144">
        <v>1196</v>
      </c>
      <c r="C2" t="s" s="144">
        <v>1197</v>
      </c>
      <c r="D2" t="s" s="144">
        <v>1198</v>
      </c>
      <c r="E2" t="s" s="144">
        <v>1199</v>
      </c>
      <c r="F2" t="s" s="144">
        <v>1200</v>
      </c>
      <c r="G2" t="s" s="144">
        <v>1201</v>
      </c>
      <c r="H2" t="s" s="144">
        <v>1202</v>
      </c>
      <c r="I2" t="s" s="144">
        <v>1203</v>
      </c>
      <c r="J2" t="s" s="144">
        <v>1204</v>
      </c>
      <c r="K2" t="s" s="144">
        <v>1205</v>
      </c>
      <c r="L2" t="s" s="144">
        <v>1206</v>
      </c>
      <c r="M2" t="s" s="144">
        <v>1207</v>
      </c>
      <c r="N2" t="s" s="144">
        <v>1208</v>
      </c>
      <c r="O2" t="s" s="144">
        <v>1209</v>
      </c>
      <c r="P2" t="s" s="144">
        <v>1210</v>
      </c>
      <c r="Q2" t="s" s="144">
        <v>1211</v>
      </c>
      <c r="R2" t="s" s="144">
        <v>140</v>
      </c>
      <c r="S2" t="s" s="144">
        <v>94</v>
      </c>
      <c r="T2" t="s" s="144">
        <v>1212</v>
      </c>
      <c r="U2" t="s" s="144">
        <v>1213</v>
      </c>
      <c r="V2" t="s" s="144">
        <v>239</v>
      </c>
      <c r="W2" t="s" s="144">
        <v>1214</v>
      </c>
      <c r="X2" t="s" s="144">
        <v>109</v>
      </c>
      <c r="Y2" t="s" s="144">
        <v>1215</v>
      </c>
      <c r="Z2" t="s" s="144">
        <v>1216</v>
      </c>
      <c r="AA2" t="s" s="144">
        <v>260</v>
      </c>
      <c r="AB2" t="s" s="144">
        <v>250</v>
      </c>
      <c r="AC2" t="s" s="144">
        <v>204</v>
      </c>
      <c r="AD2" t="s" s="144">
        <v>125</v>
      </c>
      <c r="AE2" t="s" s="144">
        <v>174</v>
      </c>
      <c r="AF2" t="s" s="144">
        <v>1217</v>
      </c>
      <c r="AG2" t="s" s="144">
        <v>1218</v>
      </c>
      <c r="AH2" t="s" s="144">
        <v>1219</v>
      </c>
      <c r="AI2" t="s" s="144">
        <v>1220</v>
      </c>
      <c r="AJ2" t="s" s="144">
        <v>1221</v>
      </c>
      <c r="AK2" t="s" s="144">
        <v>1222</v>
      </c>
      <c r="AL2" t="s" s="144">
        <v>1223</v>
      </c>
      <c r="AM2" t="s" s="144">
        <v>1224</v>
      </c>
      <c r="AN2" t="s" s="144">
        <v>1225</v>
      </c>
      <c r="AO2" t="s" s="144">
        <v>1226</v>
      </c>
      <c r="AP2" t="s" s="144">
        <v>1227</v>
      </c>
    </row>
    <row r="5" s="143" customFormat="1" ht="17" customHeight="1">
      <c r="B5" s="151"/>
      <c r="E5" s="152"/>
      <c r="F5" s="152"/>
      <c r="G5" s="152"/>
      <c r="H5" s="153"/>
      <c r="K5" s="152"/>
      <c r="L5" s="154"/>
      <c r="M5" s="152"/>
    </row>
    <row r="7" s="143" customFormat="1" ht="15.75" customHeight="1">
      <c r="A7" t="s" s="144">
        <v>1228</v>
      </c>
      <c r="B7" t="s" s="144">
        <v>1229</v>
      </c>
      <c r="C7" t="s" s="144">
        <v>1230</v>
      </c>
      <c r="D7" t="s" s="155">
        <v>10</v>
      </c>
      <c r="E7" t="s" s="144">
        <v>1231</v>
      </c>
      <c r="F7" t="s" s="144">
        <v>1232</v>
      </c>
      <c r="G7" t="s" s="144">
        <v>1233</v>
      </c>
      <c r="H7" t="s" s="144">
        <v>1234</v>
      </c>
    </row>
    <row r="11" s="143" customFormat="1" ht="17" customHeight="1">
      <c r="E11" s="151"/>
      <c r="G11" s="152"/>
    </row>
    <row r="14" s="143" customFormat="1" ht="17" customHeight="1">
      <c r="A14" t="s" s="144">
        <v>1235</v>
      </c>
      <c r="B14" t="s" s="144">
        <v>1236</v>
      </c>
    </row>
    <row r="15" s="143" customFormat="1" ht="17" customHeight="1">
      <c r="A15" t="s" s="144">
        <v>26</v>
      </c>
      <c r="B15" t="s" s="144">
        <v>1237</v>
      </c>
    </row>
    <row r="16" s="143" customFormat="1" ht="17" customHeight="1">
      <c r="A16" t="s" s="144">
        <v>27</v>
      </c>
      <c r="B16" t="s" s="144">
        <v>1238</v>
      </c>
    </row>
    <row r="17" s="143" customFormat="1" ht="17" customHeight="1">
      <c r="A17" t="s" s="144">
        <v>28</v>
      </c>
      <c r="B17" t="s" s="144">
        <v>1239</v>
      </c>
    </row>
    <row r="18" s="143" customFormat="1" ht="42" customHeight="1">
      <c r="A18" t="s" s="156">
        <v>29</v>
      </c>
      <c r="B18" t="s" s="144">
        <v>1240</v>
      </c>
    </row>
    <row r="19" s="143" customFormat="1" ht="29" customHeight="1">
      <c r="A19" t="s" s="156">
        <v>30</v>
      </c>
      <c r="B19" t="s" s="144">
        <v>1241</v>
      </c>
    </row>
    <row r="20" s="143" customFormat="1" ht="29" customHeight="1">
      <c r="A20" t="s" s="156">
        <v>31</v>
      </c>
      <c r="B20" t="s" s="144">
        <v>1242</v>
      </c>
    </row>
    <row r="21" s="143" customFormat="1" ht="42" customHeight="1">
      <c r="A21" t="s" s="156">
        <v>32</v>
      </c>
      <c r="B21" t="s" s="144">
        <v>1243</v>
      </c>
    </row>
    <row r="22" s="143" customFormat="1" ht="29" customHeight="1">
      <c r="A22" t="s" s="156">
        <v>33</v>
      </c>
      <c r="B22" t="s" s="144">
        <v>1244</v>
      </c>
    </row>
    <row r="23" s="143" customFormat="1" ht="55" customHeight="1">
      <c r="A23" t="s" s="156">
        <v>34</v>
      </c>
      <c r="B23" t="s" s="144">
        <v>1245</v>
      </c>
    </row>
    <row r="24" s="143" customFormat="1" ht="42" customHeight="1">
      <c r="A24" t="s" s="156">
        <v>35</v>
      </c>
      <c r="B24" t="s" s="144">
        <v>1246</v>
      </c>
    </row>
    <row r="25" s="143" customFormat="1" ht="42" customHeight="1">
      <c r="A25" t="s" s="156">
        <v>36</v>
      </c>
      <c r="B25" t="s" s="144">
        <v>1247</v>
      </c>
    </row>
    <row r="26" s="143" customFormat="1" ht="29" customHeight="1">
      <c r="A26" t="s" s="156">
        <v>37</v>
      </c>
      <c r="B26" t="s" s="144">
        <v>1248</v>
      </c>
    </row>
    <row r="27" s="143" customFormat="1" ht="42" customHeight="1">
      <c r="A27" t="s" s="156">
        <v>38</v>
      </c>
      <c r="B27" t="s" s="144">
        <v>1249</v>
      </c>
    </row>
    <row r="30" s="143" customFormat="1" ht="17" customHeight="1">
      <c r="A30" t="s" s="144">
        <v>39</v>
      </c>
      <c r="B30" t="s" s="144">
        <v>1250</v>
      </c>
    </row>
    <row r="31" s="143" customFormat="1" ht="29" customHeight="1">
      <c r="A31" t="s" s="156">
        <v>40</v>
      </c>
      <c r="B31" t="s" s="144">
        <v>1251</v>
      </c>
    </row>
    <row r="32" s="143" customFormat="1" ht="17" customHeight="1">
      <c r="A32" t="s" s="144">
        <v>41</v>
      </c>
      <c r="B32" t="s" s="144">
        <v>1252</v>
      </c>
    </row>
    <row r="33" s="143" customFormat="1" ht="17" customHeight="1">
      <c r="A33" t="s" s="144">
        <v>42</v>
      </c>
      <c r="B33" t="s" s="144">
        <v>1253</v>
      </c>
    </row>
    <row r="34" s="143" customFormat="1" ht="17" customHeight="1">
      <c r="A34" t="s" s="144">
        <v>43</v>
      </c>
      <c r="B34" t="s" s="144">
        <v>1254</v>
      </c>
    </row>
    <row r="35" s="143" customFormat="1" ht="55" customHeight="1">
      <c r="A35" t="s" s="156">
        <v>44</v>
      </c>
      <c r="B35" t="s" s="144">
        <v>1255</v>
      </c>
    </row>
    <row r="37" s="143" customFormat="1" ht="17" customHeight="1">
      <c r="H37" s="151"/>
      <c r="L37" s="151"/>
      <c r="O37" s="152"/>
      <c r="P37" s="152"/>
    </row>
    <row r="39" s="143" customFormat="1" ht="17" customHeight="1">
      <c r="A39" t="s" s="144">
        <v>26</v>
      </c>
      <c r="B39" t="s" s="144">
        <v>1237</v>
      </c>
    </row>
    <row r="40" s="143" customFormat="1" ht="17" customHeight="1">
      <c r="A40" t="s" s="144">
        <v>273</v>
      </c>
      <c r="B40" t="s" s="144">
        <v>1256</v>
      </c>
    </row>
    <row r="41" s="143" customFormat="1" ht="29" customHeight="1">
      <c r="A41" t="s" s="156">
        <v>274</v>
      </c>
      <c r="B41" t="s" s="144">
        <v>1257</v>
      </c>
    </row>
    <row r="42" s="143" customFormat="1" ht="17" customHeight="1">
      <c r="A42" t="s" s="144">
        <v>275</v>
      </c>
      <c r="B42" t="s" s="144">
        <v>1258</v>
      </c>
    </row>
    <row r="43" s="143" customFormat="1" ht="17" customHeight="1">
      <c r="A43" t="s" s="144">
        <v>276</v>
      </c>
      <c r="B43" t="s" s="144">
        <v>1259</v>
      </c>
    </row>
    <row r="44" s="143" customFormat="1" ht="17" customHeight="1">
      <c r="A44" t="s" s="144">
        <v>277</v>
      </c>
      <c r="B44" t="s" s="144">
        <v>1260</v>
      </c>
    </row>
    <row r="45" s="143" customFormat="1" ht="29" customHeight="1">
      <c r="A45" t="s" s="156">
        <v>278</v>
      </c>
      <c r="B45" t="s" s="144">
        <v>1261</v>
      </c>
    </row>
    <row r="46" s="143" customFormat="1" ht="29" customHeight="1">
      <c r="A46" t="s" s="156">
        <v>279</v>
      </c>
      <c r="B46" t="s" s="144">
        <v>1262</v>
      </c>
    </row>
    <row r="47" s="143" customFormat="1" ht="29" customHeight="1">
      <c r="A47" t="s" s="156">
        <v>280</v>
      </c>
      <c r="B47" t="s" s="144">
        <v>1263</v>
      </c>
    </row>
    <row r="48" s="143" customFormat="1" ht="29" customHeight="1">
      <c r="A48" t="s" s="156">
        <v>281</v>
      </c>
      <c r="B48" t="s" s="144">
        <v>1264</v>
      </c>
    </row>
    <row r="49" s="143" customFormat="1" ht="29" customHeight="1">
      <c r="A49" t="s" s="156">
        <v>282</v>
      </c>
      <c r="B49" t="s" s="144">
        <v>1265</v>
      </c>
    </row>
    <row r="52" s="143" customFormat="1" ht="17" customHeight="1">
      <c r="A52" t="s" s="144">
        <v>26</v>
      </c>
      <c r="B52" t="s" s="144">
        <v>1237</v>
      </c>
    </row>
    <row r="53" s="143" customFormat="1" ht="17" customHeight="1">
      <c r="A53" t="s" s="144">
        <v>45</v>
      </c>
      <c r="B53" t="s" s="144">
        <v>1266</v>
      </c>
    </row>
    <row r="54" s="143" customFormat="1" ht="42" customHeight="1">
      <c r="A54" t="s" s="156">
        <v>29</v>
      </c>
      <c r="B54" t="s" s="144">
        <v>1240</v>
      </c>
    </row>
    <row r="55" s="143" customFormat="1" ht="17" customHeight="1">
      <c r="A55" t="s" s="144">
        <v>28</v>
      </c>
      <c r="B55" t="s" s="144">
        <v>1239</v>
      </c>
    </row>
    <row r="56" s="143" customFormat="1" ht="17" customHeight="1">
      <c r="A56" t="s" s="144">
        <v>273</v>
      </c>
      <c r="B56" t="s" s="144">
        <v>1256</v>
      </c>
    </row>
    <row r="57" s="143" customFormat="1" ht="29" customHeight="1">
      <c r="A57" t="s" s="156">
        <v>274</v>
      </c>
      <c r="B57" t="s" s="144">
        <v>1257</v>
      </c>
    </row>
    <row r="58" s="143" customFormat="1" ht="29" customHeight="1">
      <c r="A58" t="s" s="156">
        <v>334</v>
      </c>
      <c r="B58" t="s" s="144">
        <v>1267</v>
      </c>
    </row>
    <row r="59" s="143" customFormat="1" ht="17" customHeight="1">
      <c r="A59" t="s" s="144">
        <v>335</v>
      </c>
      <c r="B59" t="s" s="144">
        <v>1268</v>
      </c>
    </row>
    <row r="60" s="143" customFormat="1" ht="17" customHeight="1">
      <c r="A60" t="s" s="144">
        <v>336</v>
      </c>
      <c r="B60" t="s" s="144">
        <v>1269</v>
      </c>
    </row>
    <row r="61" s="143" customFormat="1" ht="17" customHeight="1">
      <c r="A61" t="s" s="144">
        <v>337</v>
      </c>
      <c r="B61" t="s" s="144">
        <v>1270</v>
      </c>
    </row>
    <row r="62" s="143" customFormat="1" ht="29" customHeight="1">
      <c r="A62" t="s" s="156">
        <v>338</v>
      </c>
      <c r="B62" t="s" s="144">
        <v>1271</v>
      </c>
    </row>
    <row r="63" s="143" customFormat="1" ht="29" customHeight="1">
      <c r="A63" t="s" s="156">
        <v>339</v>
      </c>
      <c r="B63" t="s" s="144">
        <v>1272</v>
      </c>
    </row>
    <row r="64" s="143" customFormat="1" ht="29" customHeight="1">
      <c r="A64" t="s" s="156">
        <v>340</v>
      </c>
      <c r="B64" t="s" s="144">
        <v>1273</v>
      </c>
    </row>
    <row r="65" s="143" customFormat="1" ht="29" customHeight="1">
      <c r="A65" t="s" s="156">
        <v>341</v>
      </c>
      <c r="B65" t="s" s="144">
        <v>79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